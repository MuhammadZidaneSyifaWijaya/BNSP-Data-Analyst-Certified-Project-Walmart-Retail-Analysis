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uhammadzidanesyifawijaya/Documents/Sertifikasi BNSP/"/>
    </mc:Choice>
  </mc:AlternateContent>
  <xr:revisionPtr revIDLastSave="0" documentId="13_ncr:1_{DDBDD0A6-EF10-5342-B4EB-5864DAAE25B9}" xr6:coauthVersionLast="47" xr6:coauthVersionMax="47" xr10:uidLastSave="{00000000-0000-0000-0000-000000000000}"/>
  <bookViews>
    <workbookView xWindow="0" yWindow="500" windowWidth="28800" windowHeight="16500" activeTab="2" xr2:uid="{C22597F0-0C3E-FA42-BDE1-3537AD919D56}"/>
  </bookViews>
  <sheets>
    <sheet name="Master (Blank)" sheetId="1" r:id="rId1"/>
    <sheet name="Master (Filled)" sheetId="5" r:id="rId2"/>
    <sheet name="Pivot Table" sheetId="11" r:id="rId3"/>
    <sheet name="Data Table Analysis" sheetId="12" r:id="rId4"/>
    <sheet name="Income" sheetId="13" r:id="rId5"/>
    <sheet name="Jumlah Category" sheetId="14" r:id="rId6"/>
    <sheet name="Persediaan" sheetId="15" r:id="rId7"/>
  </sheets>
  <definedNames>
    <definedName name="_xlnm._FilterDatabase" localSheetId="4" hidden="1">Income!$A$1:$G$181</definedName>
    <definedName name="_xlnm._FilterDatabase" localSheetId="1" hidden="1">'Master (Filled)'!$A$3:$O$185</definedName>
    <definedName name="_xlnm._FilterDatabase" localSheetId="6" hidden="1">Persediaan!$B$1:$H$181</definedName>
    <definedName name="Barcode">'Master (Filled)'!$Q$27:$R$30</definedName>
    <definedName name="Category">'Master (Filled)'!$Q$14:$R$18</definedName>
    <definedName name="Data_Table">'Data Table Analysis'!$A$5:$B$9</definedName>
    <definedName name="Harga">'Master (Filled)'!$Y$7:$Z$37</definedName>
    <definedName name="Harga_Rata_Rata">'Master (Filled)'!$U$26:$V$29</definedName>
    <definedName name="Harga1">'Master (Filled)'!#REF!</definedName>
    <definedName name="Point">'Master (Filled)'!$Q$34:$V$35</definedName>
    <definedName name="Produk">'Master (Filled)'!$T$7:$W$22</definedName>
    <definedName name="ProdukID">'Master (Filled)'!$Q$7:$Q$10</definedName>
    <definedName name="Slicer_Category">#N/A</definedName>
    <definedName name="Slicer_Domicile">#N/A</definedName>
    <definedName name="Slicer_Gender">#N/A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3" l="1"/>
  <c r="E2" i="13" s="1"/>
  <c r="C3" i="13"/>
  <c r="C4" i="13"/>
  <c r="E4" i="13" s="1"/>
  <c r="C5" i="13"/>
  <c r="E5" i="13" s="1"/>
  <c r="C6" i="13"/>
  <c r="E6" i="13" s="1"/>
  <c r="C7" i="13"/>
  <c r="C8" i="13"/>
  <c r="C9" i="13"/>
  <c r="C10" i="13"/>
  <c r="C11" i="13"/>
  <c r="C12" i="13"/>
  <c r="E12" i="13" s="1"/>
  <c r="C13" i="13"/>
  <c r="E13" i="13" s="1"/>
  <c r="C14" i="13"/>
  <c r="E14" i="13" s="1"/>
  <c r="C15" i="13"/>
  <c r="C16" i="13"/>
  <c r="C17" i="13"/>
  <c r="C18" i="13"/>
  <c r="C19" i="13"/>
  <c r="C20" i="13"/>
  <c r="E20" i="13" s="1"/>
  <c r="C21" i="13"/>
  <c r="E21" i="13" s="1"/>
  <c r="C22" i="13"/>
  <c r="E22" i="13" s="1"/>
  <c r="C23" i="13"/>
  <c r="C24" i="13"/>
  <c r="C25" i="13"/>
  <c r="C26" i="13"/>
  <c r="C27" i="13"/>
  <c r="C28" i="13"/>
  <c r="E28" i="13" s="1"/>
  <c r="C29" i="13"/>
  <c r="E29" i="13" s="1"/>
  <c r="C30" i="13"/>
  <c r="E30" i="13" s="1"/>
  <c r="C31" i="13"/>
  <c r="C32" i="13"/>
  <c r="C33" i="13"/>
  <c r="C34" i="13"/>
  <c r="C35" i="13"/>
  <c r="C36" i="13"/>
  <c r="E36" i="13" s="1"/>
  <c r="C37" i="13"/>
  <c r="E37" i="13" s="1"/>
  <c r="C38" i="13"/>
  <c r="E38" i="13" s="1"/>
  <c r="C39" i="13"/>
  <c r="C40" i="13"/>
  <c r="C41" i="13"/>
  <c r="C42" i="13"/>
  <c r="C43" i="13"/>
  <c r="C44" i="13"/>
  <c r="E44" i="13" s="1"/>
  <c r="C45" i="13"/>
  <c r="E45" i="13" s="1"/>
  <c r="C46" i="13"/>
  <c r="E46" i="13" s="1"/>
  <c r="C47" i="13"/>
  <c r="C48" i="13"/>
  <c r="C49" i="13"/>
  <c r="C50" i="13"/>
  <c r="C51" i="13"/>
  <c r="C52" i="13"/>
  <c r="E52" i="13" s="1"/>
  <c r="C53" i="13"/>
  <c r="E53" i="13" s="1"/>
  <c r="C54" i="13"/>
  <c r="E54" i="13" s="1"/>
  <c r="C55" i="13"/>
  <c r="C56" i="13"/>
  <c r="C57" i="13"/>
  <c r="C58" i="13"/>
  <c r="C59" i="13"/>
  <c r="C60" i="13"/>
  <c r="E60" i="13" s="1"/>
  <c r="C61" i="13"/>
  <c r="E61" i="13" s="1"/>
  <c r="C62" i="13"/>
  <c r="E62" i="13" s="1"/>
  <c r="C63" i="13"/>
  <c r="E63" i="13" s="1"/>
  <c r="C64" i="13"/>
  <c r="C65" i="13"/>
  <c r="C66" i="13"/>
  <c r="C67" i="13"/>
  <c r="C68" i="13"/>
  <c r="E68" i="13" s="1"/>
  <c r="C69" i="13"/>
  <c r="E69" i="13" s="1"/>
  <c r="C70" i="13"/>
  <c r="E70" i="13" s="1"/>
  <c r="C71" i="13"/>
  <c r="E71" i="13" s="1"/>
  <c r="C72" i="13"/>
  <c r="C73" i="13"/>
  <c r="C74" i="13"/>
  <c r="C75" i="13"/>
  <c r="C76" i="13"/>
  <c r="E76" i="13" s="1"/>
  <c r="C77" i="13"/>
  <c r="E77" i="13" s="1"/>
  <c r="C78" i="13"/>
  <c r="E78" i="13" s="1"/>
  <c r="C79" i="13"/>
  <c r="E79" i="13" s="1"/>
  <c r="C80" i="13"/>
  <c r="C81" i="13"/>
  <c r="C82" i="13"/>
  <c r="C83" i="13"/>
  <c r="C84" i="13"/>
  <c r="E84" i="13" s="1"/>
  <c r="C85" i="13"/>
  <c r="E85" i="13" s="1"/>
  <c r="C86" i="13"/>
  <c r="E86" i="13" s="1"/>
  <c r="C87" i="13"/>
  <c r="E87" i="13" s="1"/>
  <c r="C88" i="13"/>
  <c r="C89" i="13"/>
  <c r="C90" i="13"/>
  <c r="C91" i="13"/>
  <c r="C92" i="13"/>
  <c r="E92" i="13" s="1"/>
  <c r="C93" i="13"/>
  <c r="E93" i="13" s="1"/>
  <c r="C94" i="13"/>
  <c r="E94" i="13" s="1"/>
  <c r="C95" i="13"/>
  <c r="E95" i="13" s="1"/>
  <c r="C96" i="13"/>
  <c r="C97" i="13"/>
  <c r="C98" i="13"/>
  <c r="C99" i="13"/>
  <c r="C100" i="13"/>
  <c r="E100" i="13" s="1"/>
  <c r="C101" i="13"/>
  <c r="E101" i="13" s="1"/>
  <c r="C102" i="13"/>
  <c r="E102" i="13" s="1"/>
  <c r="C103" i="13"/>
  <c r="E103" i="13" s="1"/>
  <c r="C104" i="13"/>
  <c r="C105" i="13"/>
  <c r="C106" i="13"/>
  <c r="C107" i="13"/>
  <c r="C108" i="13"/>
  <c r="E108" i="13" s="1"/>
  <c r="C109" i="13"/>
  <c r="E109" i="13" s="1"/>
  <c r="C110" i="13"/>
  <c r="E110" i="13" s="1"/>
  <c r="C111" i="13"/>
  <c r="E111" i="13" s="1"/>
  <c r="C112" i="13"/>
  <c r="C113" i="13"/>
  <c r="C114" i="13"/>
  <c r="C115" i="13"/>
  <c r="C116" i="13"/>
  <c r="E116" i="13" s="1"/>
  <c r="C117" i="13"/>
  <c r="E117" i="13" s="1"/>
  <c r="C118" i="13"/>
  <c r="E118" i="13" s="1"/>
  <c r="C119" i="13"/>
  <c r="E119" i="13" s="1"/>
  <c r="C120" i="13"/>
  <c r="C121" i="13"/>
  <c r="C122" i="13"/>
  <c r="C123" i="13"/>
  <c r="C124" i="13"/>
  <c r="E124" i="13" s="1"/>
  <c r="C125" i="13"/>
  <c r="E125" i="13" s="1"/>
  <c r="C126" i="13"/>
  <c r="E126" i="13" s="1"/>
  <c r="C127" i="13"/>
  <c r="E127" i="13" s="1"/>
  <c r="C128" i="13"/>
  <c r="C129" i="13"/>
  <c r="C130" i="13"/>
  <c r="C131" i="13"/>
  <c r="C132" i="13"/>
  <c r="E132" i="13" s="1"/>
  <c r="C133" i="13"/>
  <c r="E133" i="13" s="1"/>
  <c r="C134" i="13"/>
  <c r="E134" i="13" s="1"/>
  <c r="C135" i="13"/>
  <c r="E135" i="13" s="1"/>
  <c r="C136" i="13"/>
  <c r="C137" i="13"/>
  <c r="C138" i="13"/>
  <c r="C139" i="13"/>
  <c r="C140" i="13"/>
  <c r="E140" i="13" s="1"/>
  <c r="C141" i="13"/>
  <c r="E141" i="13" s="1"/>
  <c r="C142" i="13"/>
  <c r="E142" i="13" s="1"/>
  <c r="C143" i="13"/>
  <c r="E143" i="13" s="1"/>
  <c r="C144" i="13"/>
  <c r="C145" i="13"/>
  <c r="C146" i="13"/>
  <c r="C147" i="13"/>
  <c r="C148" i="13"/>
  <c r="E148" i="13" s="1"/>
  <c r="C149" i="13"/>
  <c r="E149" i="13" s="1"/>
  <c r="C150" i="13"/>
  <c r="E150" i="13" s="1"/>
  <c r="C151" i="13"/>
  <c r="E151" i="13" s="1"/>
  <c r="C152" i="13"/>
  <c r="C153" i="13"/>
  <c r="C154" i="13"/>
  <c r="C155" i="13"/>
  <c r="C156" i="13"/>
  <c r="E156" i="13" s="1"/>
  <c r="C157" i="13"/>
  <c r="E157" i="13" s="1"/>
  <c r="C158" i="13"/>
  <c r="E158" i="13" s="1"/>
  <c r="C159" i="13"/>
  <c r="E159" i="13" s="1"/>
  <c r="C160" i="13"/>
  <c r="C161" i="13"/>
  <c r="C162" i="13"/>
  <c r="C163" i="13"/>
  <c r="C164" i="13"/>
  <c r="E164" i="13" s="1"/>
  <c r="C165" i="13"/>
  <c r="E165" i="13" s="1"/>
  <c r="C166" i="13"/>
  <c r="E166" i="13" s="1"/>
  <c r="C167" i="13"/>
  <c r="E167" i="13" s="1"/>
  <c r="C168" i="13"/>
  <c r="C169" i="13"/>
  <c r="C170" i="13"/>
  <c r="C171" i="13"/>
  <c r="C172" i="13"/>
  <c r="E172" i="13" s="1"/>
  <c r="C173" i="13"/>
  <c r="E173" i="13" s="1"/>
  <c r="C174" i="13"/>
  <c r="E174" i="13" s="1"/>
  <c r="C175" i="13"/>
  <c r="E175" i="13" s="1"/>
  <c r="C176" i="13"/>
  <c r="C177" i="13"/>
  <c r="C178" i="13"/>
  <c r="C179" i="13"/>
  <c r="C180" i="13"/>
  <c r="E180" i="13" s="1"/>
  <c r="C181" i="13"/>
  <c r="E181" i="13" s="1"/>
  <c r="D181" i="13"/>
  <c r="D180" i="13"/>
  <c r="D179" i="13"/>
  <c r="D178" i="13"/>
  <c r="D177" i="13"/>
  <c r="D176" i="13"/>
  <c r="D175" i="13"/>
  <c r="D174" i="13"/>
  <c r="D173" i="13"/>
  <c r="D172" i="13"/>
  <c r="D171" i="13"/>
  <c r="D170" i="13"/>
  <c r="D169" i="13"/>
  <c r="D168" i="13"/>
  <c r="D167" i="13"/>
  <c r="D166" i="13"/>
  <c r="D165" i="13"/>
  <c r="D164" i="13"/>
  <c r="D163" i="13"/>
  <c r="D162" i="13"/>
  <c r="D161" i="13"/>
  <c r="D160" i="13"/>
  <c r="D159" i="13"/>
  <c r="D158" i="13"/>
  <c r="D157" i="13"/>
  <c r="D156" i="13"/>
  <c r="D155" i="13"/>
  <c r="D154" i="13"/>
  <c r="D153" i="13"/>
  <c r="D152" i="13"/>
  <c r="D151" i="13"/>
  <c r="D150" i="13"/>
  <c r="D149" i="13"/>
  <c r="D148" i="13"/>
  <c r="D147" i="13"/>
  <c r="D146" i="13"/>
  <c r="D145" i="13"/>
  <c r="D144" i="13"/>
  <c r="D143" i="13"/>
  <c r="D142" i="13"/>
  <c r="D141" i="13"/>
  <c r="D140" i="13"/>
  <c r="D139" i="13"/>
  <c r="D138" i="13"/>
  <c r="D137" i="13"/>
  <c r="D136" i="13"/>
  <c r="D135" i="13"/>
  <c r="D134" i="13"/>
  <c r="D133" i="13"/>
  <c r="D132" i="13"/>
  <c r="D131" i="13"/>
  <c r="D130" i="13"/>
  <c r="D129" i="13"/>
  <c r="D128"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2" i="13"/>
  <c r="D74" i="13"/>
  <c r="D73" i="13"/>
  <c r="D71" i="13"/>
  <c r="D70" i="13"/>
  <c r="D69" i="13"/>
  <c r="D68" i="13"/>
  <c r="D67" i="13"/>
  <c r="D66" i="13"/>
  <c r="D65" i="13"/>
  <c r="D62" i="13"/>
  <c r="D64" i="13"/>
  <c r="D63" i="13"/>
  <c r="D61" i="13"/>
  <c r="D60" i="13"/>
  <c r="D59" i="13"/>
  <c r="D58" i="13"/>
  <c r="D57" i="13"/>
  <c r="D55" i="13"/>
  <c r="D56"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E179" i="13"/>
  <c r="E178" i="13"/>
  <c r="E177" i="13"/>
  <c r="E176" i="13"/>
  <c r="E171" i="13"/>
  <c r="E170" i="13"/>
  <c r="E169" i="13"/>
  <c r="E168" i="13"/>
  <c r="E163" i="13"/>
  <c r="E162" i="13"/>
  <c r="E161" i="13"/>
  <c r="E160" i="13"/>
  <c r="E155" i="13"/>
  <c r="E154" i="13"/>
  <c r="E153" i="13"/>
  <c r="E152" i="13"/>
  <c r="E147" i="13"/>
  <c r="E146" i="13"/>
  <c r="E145" i="13"/>
  <c r="E144" i="13"/>
  <c r="E139" i="13"/>
  <c r="E138" i="13"/>
  <c r="E137" i="13"/>
  <c r="E136" i="13"/>
  <c r="E131" i="13"/>
  <c r="E130" i="13"/>
  <c r="E129" i="13"/>
  <c r="E128" i="13"/>
  <c r="E123" i="13"/>
  <c r="E122" i="13"/>
  <c r="E121" i="13"/>
  <c r="E120" i="13"/>
  <c r="E115" i="13"/>
  <c r="E114" i="13"/>
  <c r="E113" i="13"/>
  <c r="E112" i="13"/>
  <c r="E107" i="13"/>
  <c r="E106" i="13"/>
  <c r="E105" i="13"/>
  <c r="E104" i="13"/>
  <c r="E99" i="13"/>
  <c r="E98" i="13"/>
  <c r="E97" i="13"/>
  <c r="E96" i="13"/>
  <c r="E91" i="13"/>
  <c r="E90" i="13"/>
  <c r="E89" i="13"/>
  <c r="E88" i="13"/>
  <c r="E83" i="13"/>
  <c r="E82" i="13"/>
  <c r="E81" i="13"/>
  <c r="E80" i="13"/>
  <c r="E75" i="13"/>
  <c r="E74" i="13"/>
  <c r="E73" i="13"/>
  <c r="E72" i="13"/>
  <c r="E67" i="13"/>
  <c r="E66" i="13"/>
  <c r="E65" i="13"/>
  <c r="E64" i="13"/>
  <c r="E59" i="13"/>
  <c r="E58" i="13"/>
  <c r="E57" i="13"/>
  <c r="E56" i="13"/>
  <c r="E55" i="13"/>
  <c r="E51" i="13"/>
  <c r="E50" i="13"/>
  <c r="E49" i="13"/>
  <c r="E48" i="13"/>
  <c r="E47" i="13"/>
  <c r="E43" i="13"/>
  <c r="E42" i="13"/>
  <c r="E41" i="13"/>
  <c r="E40" i="13"/>
  <c r="E39" i="13"/>
  <c r="E35" i="13"/>
  <c r="E34" i="13"/>
  <c r="E33" i="13"/>
  <c r="E32" i="13"/>
  <c r="E31" i="13"/>
  <c r="E27" i="13"/>
  <c r="E26" i="13"/>
  <c r="E25" i="13"/>
  <c r="E24" i="13"/>
  <c r="E23" i="13"/>
  <c r="E19" i="13"/>
  <c r="E18" i="13"/>
  <c r="E17" i="13"/>
  <c r="E16" i="13"/>
  <c r="E15" i="13"/>
  <c r="E11" i="13"/>
  <c r="E10" i="13"/>
  <c r="E9" i="13"/>
  <c r="E8" i="13"/>
  <c r="E7" i="13"/>
  <c r="E3" i="13"/>
  <c r="J2" i="15"/>
  <c r="K181" i="15"/>
  <c r="J181" i="15"/>
  <c r="G181" i="15"/>
  <c r="F181" i="15"/>
  <c r="H181" i="15" s="1"/>
  <c r="K180" i="15"/>
  <c r="J180" i="15"/>
  <c r="G180" i="15"/>
  <c r="F180" i="15"/>
  <c r="H180" i="15" s="1"/>
  <c r="K179" i="15"/>
  <c r="L179" i="15" s="1"/>
  <c r="J179" i="15"/>
  <c r="G179" i="15"/>
  <c r="F179" i="15"/>
  <c r="H179" i="15" s="1"/>
  <c r="K178" i="15"/>
  <c r="J178" i="15"/>
  <c r="G178" i="15"/>
  <c r="F178" i="15"/>
  <c r="H178" i="15" s="1"/>
  <c r="K177" i="15"/>
  <c r="L177" i="15" s="1"/>
  <c r="J177" i="15"/>
  <c r="G177" i="15"/>
  <c r="F177" i="15"/>
  <c r="H177" i="15" s="1"/>
  <c r="K176" i="15"/>
  <c r="J176" i="15"/>
  <c r="G176" i="15"/>
  <c r="F176" i="15"/>
  <c r="H176" i="15" s="1"/>
  <c r="K175" i="15"/>
  <c r="J175" i="15"/>
  <c r="G175" i="15"/>
  <c r="F175" i="15"/>
  <c r="K174" i="15"/>
  <c r="J174" i="15"/>
  <c r="G174" i="15"/>
  <c r="F174" i="15"/>
  <c r="H174" i="15" s="1"/>
  <c r="K173" i="15"/>
  <c r="L173" i="15" s="1"/>
  <c r="J173" i="15"/>
  <c r="G173" i="15"/>
  <c r="F173" i="15"/>
  <c r="K172" i="15"/>
  <c r="J172" i="15"/>
  <c r="G172" i="15"/>
  <c r="F172" i="15"/>
  <c r="H172" i="15" s="1"/>
  <c r="K171" i="15"/>
  <c r="J171" i="15"/>
  <c r="G171" i="15"/>
  <c r="F171" i="15"/>
  <c r="K170" i="15"/>
  <c r="J170" i="15"/>
  <c r="G170" i="15"/>
  <c r="F170" i="15"/>
  <c r="H170" i="15" s="1"/>
  <c r="K169" i="15"/>
  <c r="L169" i="15" s="1"/>
  <c r="J169" i="15"/>
  <c r="G169" i="15"/>
  <c r="F169" i="15"/>
  <c r="K168" i="15"/>
  <c r="J168" i="15"/>
  <c r="G168" i="15"/>
  <c r="F168" i="15"/>
  <c r="K167" i="15"/>
  <c r="J167" i="15"/>
  <c r="G167" i="15"/>
  <c r="F167" i="15"/>
  <c r="H167" i="15" s="1"/>
  <c r="K166" i="15"/>
  <c r="J166" i="15"/>
  <c r="G166" i="15"/>
  <c r="F166" i="15"/>
  <c r="K165" i="15"/>
  <c r="L165" i="15" s="1"/>
  <c r="J165" i="15"/>
  <c r="G165" i="15"/>
  <c r="F165" i="15"/>
  <c r="H165" i="15" s="1"/>
  <c r="K164" i="15"/>
  <c r="J164" i="15"/>
  <c r="G164" i="15"/>
  <c r="F164" i="15"/>
  <c r="K163" i="15"/>
  <c r="J163" i="15"/>
  <c r="G163" i="15"/>
  <c r="F163" i="15"/>
  <c r="H163" i="15" s="1"/>
  <c r="K162" i="15"/>
  <c r="J162" i="15"/>
  <c r="G162" i="15"/>
  <c r="F162" i="15"/>
  <c r="K161" i="15"/>
  <c r="L161" i="15" s="1"/>
  <c r="J161" i="15"/>
  <c r="G161" i="15"/>
  <c r="F161" i="15"/>
  <c r="H161" i="15" s="1"/>
  <c r="K160" i="15"/>
  <c r="J160" i="15"/>
  <c r="G160" i="15"/>
  <c r="F160" i="15"/>
  <c r="H160" i="15" s="1"/>
  <c r="K159" i="15"/>
  <c r="J159" i="15"/>
  <c r="G159" i="15"/>
  <c r="F159" i="15"/>
  <c r="K158" i="15"/>
  <c r="J158" i="15"/>
  <c r="G158" i="15"/>
  <c r="F158" i="15"/>
  <c r="H158" i="15" s="1"/>
  <c r="K157" i="15"/>
  <c r="L157" i="15" s="1"/>
  <c r="J157" i="15"/>
  <c r="G157" i="15"/>
  <c r="F157" i="15"/>
  <c r="H157" i="15" s="1"/>
  <c r="K156" i="15"/>
  <c r="J156" i="15"/>
  <c r="G156" i="15"/>
  <c r="F156" i="15"/>
  <c r="K155" i="15"/>
  <c r="J155" i="15"/>
  <c r="G155" i="15"/>
  <c r="F155" i="15"/>
  <c r="H155" i="15" s="1"/>
  <c r="K154" i="15"/>
  <c r="J154" i="15"/>
  <c r="G154" i="15"/>
  <c r="F154" i="15"/>
  <c r="H154" i="15" s="1"/>
  <c r="K153" i="15"/>
  <c r="L153" i="15" s="1"/>
  <c r="J153" i="15"/>
  <c r="G153" i="15"/>
  <c r="F153" i="15"/>
  <c r="K152" i="15"/>
  <c r="J152" i="15"/>
  <c r="G152" i="15"/>
  <c r="F152" i="15"/>
  <c r="K151" i="15"/>
  <c r="J151" i="15"/>
  <c r="G151" i="15"/>
  <c r="F151" i="15"/>
  <c r="K150" i="15"/>
  <c r="J150" i="15"/>
  <c r="G150" i="15"/>
  <c r="F150" i="15"/>
  <c r="K149" i="15"/>
  <c r="J149" i="15"/>
  <c r="G149" i="15"/>
  <c r="F149" i="15"/>
  <c r="H149" i="15" s="1"/>
  <c r="K148" i="15"/>
  <c r="J148" i="15"/>
  <c r="G148" i="15"/>
  <c r="F148" i="15"/>
  <c r="K147" i="15"/>
  <c r="J147" i="15"/>
  <c r="G147" i="15"/>
  <c r="F147" i="15"/>
  <c r="H147" i="15" s="1"/>
  <c r="K146" i="15"/>
  <c r="J146" i="15"/>
  <c r="G146" i="15"/>
  <c r="F146" i="15"/>
  <c r="K145" i="15"/>
  <c r="J145" i="15"/>
  <c r="G145" i="15"/>
  <c r="F145" i="15"/>
  <c r="H145" i="15" s="1"/>
  <c r="K144" i="15"/>
  <c r="J144" i="15"/>
  <c r="G144" i="15"/>
  <c r="F144" i="15"/>
  <c r="K143" i="15"/>
  <c r="J143" i="15"/>
  <c r="G143" i="15"/>
  <c r="F143" i="15"/>
  <c r="H143" i="15" s="1"/>
  <c r="K142" i="15"/>
  <c r="J142" i="15"/>
  <c r="G142" i="15"/>
  <c r="F142" i="15"/>
  <c r="K141" i="15"/>
  <c r="J141" i="15"/>
  <c r="G141" i="15"/>
  <c r="F141" i="15"/>
  <c r="H141" i="15" s="1"/>
  <c r="K140" i="15"/>
  <c r="J140" i="15"/>
  <c r="G140" i="15"/>
  <c r="F140" i="15"/>
  <c r="K139" i="15"/>
  <c r="J139" i="15"/>
  <c r="G139" i="15"/>
  <c r="F139" i="15"/>
  <c r="H139" i="15" s="1"/>
  <c r="K138" i="15"/>
  <c r="J138" i="15"/>
  <c r="G138" i="15"/>
  <c r="F138" i="15"/>
  <c r="K137" i="15"/>
  <c r="J137" i="15"/>
  <c r="G137" i="15"/>
  <c r="F137" i="15"/>
  <c r="K136" i="15"/>
  <c r="J136" i="15"/>
  <c r="G136" i="15"/>
  <c r="F136" i="15"/>
  <c r="K135" i="15"/>
  <c r="J135" i="15"/>
  <c r="G135" i="15"/>
  <c r="F135" i="15"/>
  <c r="K134" i="15"/>
  <c r="J134" i="15"/>
  <c r="G134" i="15"/>
  <c r="F134" i="15"/>
  <c r="K133" i="15"/>
  <c r="J133" i="15"/>
  <c r="G133" i="15"/>
  <c r="F133" i="15"/>
  <c r="K132" i="15"/>
  <c r="J132" i="15"/>
  <c r="G132" i="15"/>
  <c r="F132" i="15"/>
  <c r="K131" i="15"/>
  <c r="J131" i="15"/>
  <c r="G131" i="15"/>
  <c r="F131" i="15"/>
  <c r="H131" i="15" s="1"/>
  <c r="K130" i="15"/>
  <c r="J130" i="15"/>
  <c r="G130" i="15"/>
  <c r="F130" i="15"/>
  <c r="K129" i="15"/>
  <c r="J129" i="15"/>
  <c r="G129" i="15"/>
  <c r="F129" i="15"/>
  <c r="K128" i="15"/>
  <c r="J128" i="15"/>
  <c r="G128" i="15"/>
  <c r="F128" i="15"/>
  <c r="K127" i="15"/>
  <c r="J127" i="15"/>
  <c r="L127" i="15" s="1"/>
  <c r="G127" i="15"/>
  <c r="F127" i="15"/>
  <c r="K126" i="15"/>
  <c r="J126" i="15"/>
  <c r="G126" i="15"/>
  <c r="F126" i="15"/>
  <c r="K125" i="15"/>
  <c r="J125" i="15"/>
  <c r="G125" i="15"/>
  <c r="F125" i="15"/>
  <c r="K124" i="15"/>
  <c r="J124" i="15"/>
  <c r="G124" i="15"/>
  <c r="F124" i="15"/>
  <c r="K123" i="15"/>
  <c r="J123" i="15"/>
  <c r="G123" i="15"/>
  <c r="F123" i="15"/>
  <c r="K122" i="15"/>
  <c r="J122" i="15"/>
  <c r="G122" i="15"/>
  <c r="F122" i="15"/>
  <c r="K121" i="15"/>
  <c r="J121" i="15"/>
  <c r="G121" i="15"/>
  <c r="F121" i="15"/>
  <c r="K120" i="15"/>
  <c r="J120" i="15"/>
  <c r="G120" i="15"/>
  <c r="F120" i="15"/>
  <c r="K119" i="15"/>
  <c r="J119" i="15"/>
  <c r="L119" i="15" s="1"/>
  <c r="G119" i="15"/>
  <c r="F119" i="15"/>
  <c r="K118" i="15"/>
  <c r="J118" i="15"/>
  <c r="G118" i="15"/>
  <c r="F118" i="15"/>
  <c r="K117" i="15"/>
  <c r="J117" i="15"/>
  <c r="G117" i="15"/>
  <c r="F117" i="15"/>
  <c r="K116" i="15"/>
  <c r="J116" i="15"/>
  <c r="G116" i="15"/>
  <c r="F116" i="15"/>
  <c r="K115" i="15"/>
  <c r="J115" i="15"/>
  <c r="G115" i="15"/>
  <c r="F115" i="15"/>
  <c r="K114" i="15"/>
  <c r="J114" i="15"/>
  <c r="G114" i="15"/>
  <c r="F114" i="15"/>
  <c r="K113" i="15"/>
  <c r="J113" i="15"/>
  <c r="G113" i="15"/>
  <c r="H113" i="15" s="1"/>
  <c r="F113" i="15"/>
  <c r="K112" i="15"/>
  <c r="J112" i="15"/>
  <c r="G112" i="15"/>
  <c r="H112" i="15" s="1"/>
  <c r="F112" i="15"/>
  <c r="K111" i="15"/>
  <c r="J111" i="15"/>
  <c r="G111" i="15"/>
  <c r="F111" i="15"/>
  <c r="K110" i="15"/>
  <c r="J110" i="15"/>
  <c r="L110" i="15" s="1"/>
  <c r="G110" i="15"/>
  <c r="F110" i="15"/>
  <c r="K109" i="15"/>
  <c r="J109" i="15"/>
  <c r="G109" i="15"/>
  <c r="F109" i="15"/>
  <c r="K108" i="15"/>
  <c r="J108" i="15"/>
  <c r="G108" i="15"/>
  <c r="F108" i="15"/>
  <c r="K107" i="15"/>
  <c r="J107" i="15"/>
  <c r="G107" i="15"/>
  <c r="F107" i="15"/>
  <c r="K106" i="15"/>
  <c r="J106" i="15"/>
  <c r="G106" i="15"/>
  <c r="F106" i="15"/>
  <c r="K105" i="15"/>
  <c r="J105" i="15"/>
  <c r="G105" i="15"/>
  <c r="F105" i="15"/>
  <c r="K104" i="15"/>
  <c r="J104" i="15"/>
  <c r="G104" i="15"/>
  <c r="F104" i="15"/>
  <c r="K103" i="15"/>
  <c r="J103" i="15"/>
  <c r="G103" i="15"/>
  <c r="F103" i="15"/>
  <c r="K102" i="15"/>
  <c r="J102" i="15"/>
  <c r="L102" i="15" s="1"/>
  <c r="G102" i="15"/>
  <c r="F102" i="15"/>
  <c r="K101" i="15"/>
  <c r="J101" i="15"/>
  <c r="G101" i="15"/>
  <c r="F101" i="15"/>
  <c r="K100" i="15"/>
  <c r="J100" i="15"/>
  <c r="L100" i="15" s="1"/>
  <c r="G100" i="15"/>
  <c r="F100" i="15"/>
  <c r="K99" i="15"/>
  <c r="J99" i="15"/>
  <c r="H99" i="15"/>
  <c r="G99" i="15"/>
  <c r="F99" i="15"/>
  <c r="K98" i="15"/>
  <c r="J98" i="15"/>
  <c r="G98" i="15"/>
  <c r="F98" i="15"/>
  <c r="H98" i="15" s="1"/>
  <c r="K97" i="15"/>
  <c r="J97" i="15"/>
  <c r="G97" i="15"/>
  <c r="F97" i="15"/>
  <c r="K96" i="15"/>
  <c r="J96" i="15"/>
  <c r="G96" i="15"/>
  <c r="F96" i="15"/>
  <c r="K95" i="15"/>
  <c r="J95" i="15"/>
  <c r="G95" i="15"/>
  <c r="F95" i="15"/>
  <c r="K94" i="15"/>
  <c r="J94" i="15"/>
  <c r="G94" i="15"/>
  <c r="F94" i="15"/>
  <c r="K93" i="15"/>
  <c r="J93" i="15"/>
  <c r="G93" i="15"/>
  <c r="F93" i="15"/>
  <c r="K92" i="15"/>
  <c r="J92" i="15"/>
  <c r="G92" i="15"/>
  <c r="F92" i="15"/>
  <c r="K91" i="15"/>
  <c r="J91" i="15"/>
  <c r="G91" i="15"/>
  <c r="F91" i="15"/>
  <c r="K90" i="15"/>
  <c r="J90" i="15"/>
  <c r="G90" i="15"/>
  <c r="F90" i="15"/>
  <c r="K89" i="15"/>
  <c r="J89" i="15"/>
  <c r="G89" i="15"/>
  <c r="F89" i="15"/>
  <c r="K88" i="15"/>
  <c r="J88" i="15"/>
  <c r="G88" i="15"/>
  <c r="F88" i="15"/>
  <c r="K87" i="15"/>
  <c r="J87" i="15"/>
  <c r="G87" i="15"/>
  <c r="F87" i="15"/>
  <c r="K86" i="15"/>
  <c r="J86" i="15"/>
  <c r="G86" i="15"/>
  <c r="F86" i="15"/>
  <c r="K85" i="15"/>
  <c r="J85" i="15"/>
  <c r="G85" i="15"/>
  <c r="F85" i="15"/>
  <c r="K84" i="15"/>
  <c r="J84" i="15"/>
  <c r="G84" i="15"/>
  <c r="F84" i="15"/>
  <c r="K83" i="15"/>
  <c r="J83" i="15"/>
  <c r="G83" i="15"/>
  <c r="H83" i="15" s="1"/>
  <c r="F83" i="15"/>
  <c r="K82" i="15"/>
  <c r="J82" i="15"/>
  <c r="G82" i="15"/>
  <c r="F82" i="15"/>
  <c r="K81" i="15"/>
  <c r="J81" i="15"/>
  <c r="G81" i="15"/>
  <c r="H81" i="15" s="1"/>
  <c r="F81" i="15"/>
  <c r="K80" i="15"/>
  <c r="J80" i="15"/>
  <c r="G80" i="15"/>
  <c r="F80" i="15"/>
  <c r="K79" i="15"/>
  <c r="J79" i="15"/>
  <c r="G79" i="15"/>
  <c r="F79" i="15"/>
  <c r="K78" i="15"/>
  <c r="J78" i="15"/>
  <c r="G78" i="15"/>
  <c r="F78" i="15"/>
  <c r="K77" i="15"/>
  <c r="J77" i="15"/>
  <c r="G77" i="15"/>
  <c r="F77" i="15"/>
  <c r="K76" i="15"/>
  <c r="J76" i="15"/>
  <c r="G76" i="15"/>
  <c r="F76" i="15"/>
  <c r="K75" i="15"/>
  <c r="J75" i="15"/>
  <c r="G75" i="15"/>
  <c r="F75" i="15"/>
  <c r="K74" i="15"/>
  <c r="J74" i="15"/>
  <c r="G74" i="15"/>
  <c r="F74" i="15"/>
  <c r="K73" i="15"/>
  <c r="J73" i="15"/>
  <c r="G73" i="15"/>
  <c r="F73" i="15"/>
  <c r="K72" i="15"/>
  <c r="J72" i="15"/>
  <c r="G72" i="15"/>
  <c r="F72" i="15"/>
  <c r="K71" i="15"/>
  <c r="J71" i="15"/>
  <c r="G71" i="15"/>
  <c r="F71" i="15"/>
  <c r="K70" i="15"/>
  <c r="J70" i="15"/>
  <c r="G70" i="15"/>
  <c r="F70" i="15"/>
  <c r="K69" i="15"/>
  <c r="J69" i="15"/>
  <c r="G69" i="15"/>
  <c r="F69" i="15"/>
  <c r="K68" i="15"/>
  <c r="J68" i="15"/>
  <c r="G68" i="15"/>
  <c r="F68" i="15"/>
  <c r="K67" i="15"/>
  <c r="J67" i="15"/>
  <c r="G67" i="15"/>
  <c r="F67" i="15"/>
  <c r="K66" i="15"/>
  <c r="J66" i="15"/>
  <c r="G66" i="15"/>
  <c r="F66" i="15"/>
  <c r="H66" i="15" s="1"/>
  <c r="K65" i="15"/>
  <c r="J65" i="15"/>
  <c r="G65" i="15"/>
  <c r="F65" i="15"/>
  <c r="H65" i="15" s="1"/>
  <c r="K64" i="15"/>
  <c r="J64" i="15"/>
  <c r="G64" i="15"/>
  <c r="F64" i="15"/>
  <c r="K63" i="15"/>
  <c r="L63" i="15" s="1"/>
  <c r="J63" i="15"/>
  <c r="G63" i="15"/>
  <c r="F63" i="15"/>
  <c r="K62" i="15"/>
  <c r="J62" i="15"/>
  <c r="G62" i="15"/>
  <c r="F62" i="15"/>
  <c r="K61" i="15"/>
  <c r="L61" i="15" s="1"/>
  <c r="J61" i="15"/>
  <c r="G61" i="15"/>
  <c r="F61" i="15"/>
  <c r="K60" i="15"/>
  <c r="J60" i="15"/>
  <c r="G60" i="15"/>
  <c r="F60" i="15"/>
  <c r="K59" i="15"/>
  <c r="L59" i="15" s="1"/>
  <c r="J59" i="15"/>
  <c r="G59" i="15"/>
  <c r="F59" i="15"/>
  <c r="K58" i="15"/>
  <c r="J58" i="15"/>
  <c r="G58" i="15"/>
  <c r="F58" i="15"/>
  <c r="H58" i="15" s="1"/>
  <c r="K57" i="15"/>
  <c r="J57" i="15"/>
  <c r="G57" i="15"/>
  <c r="F57" i="15"/>
  <c r="K56" i="15"/>
  <c r="J56" i="15"/>
  <c r="G56" i="15"/>
  <c r="F56" i="15"/>
  <c r="K55" i="15"/>
  <c r="J55" i="15"/>
  <c r="G55" i="15"/>
  <c r="F55" i="15"/>
  <c r="K54" i="15"/>
  <c r="J54" i="15"/>
  <c r="G54" i="15"/>
  <c r="F54" i="15"/>
  <c r="K53" i="15"/>
  <c r="J53" i="15"/>
  <c r="G53" i="15"/>
  <c r="F53" i="15"/>
  <c r="K52" i="15"/>
  <c r="J52" i="15"/>
  <c r="G52" i="15"/>
  <c r="F52" i="15"/>
  <c r="K51" i="15"/>
  <c r="J51" i="15"/>
  <c r="G51" i="15"/>
  <c r="F51" i="15"/>
  <c r="K50" i="15"/>
  <c r="J50" i="15"/>
  <c r="G50" i="15"/>
  <c r="F50" i="15"/>
  <c r="H50" i="15" s="1"/>
  <c r="K49" i="15"/>
  <c r="J49" i="15"/>
  <c r="G49" i="15"/>
  <c r="F49" i="15"/>
  <c r="K48" i="15"/>
  <c r="J48" i="15"/>
  <c r="G48" i="15"/>
  <c r="F48" i="15"/>
  <c r="H48" i="15" s="1"/>
  <c r="K47" i="15"/>
  <c r="J47" i="15"/>
  <c r="G47" i="15"/>
  <c r="F47" i="15"/>
  <c r="K46" i="15"/>
  <c r="J46" i="15"/>
  <c r="G46" i="15"/>
  <c r="F46" i="15"/>
  <c r="H46" i="15" s="1"/>
  <c r="K45" i="15"/>
  <c r="J45" i="15"/>
  <c r="G45" i="15"/>
  <c r="F45" i="15"/>
  <c r="K44" i="15"/>
  <c r="J44" i="15"/>
  <c r="G44" i="15"/>
  <c r="F44" i="15"/>
  <c r="H44" i="15" s="1"/>
  <c r="K43" i="15"/>
  <c r="J43" i="15"/>
  <c r="G43" i="15"/>
  <c r="F43" i="15"/>
  <c r="K42" i="15"/>
  <c r="J42" i="15"/>
  <c r="G42" i="15"/>
  <c r="F42" i="15"/>
  <c r="H42" i="15" s="1"/>
  <c r="K41" i="15"/>
  <c r="J41" i="15"/>
  <c r="G41" i="15"/>
  <c r="F41" i="15"/>
  <c r="H41" i="15" s="1"/>
  <c r="K40" i="15"/>
  <c r="J40" i="15"/>
  <c r="G40" i="15"/>
  <c r="F40" i="15"/>
  <c r="K39" i="15"/>
  <c r="J39" i="15"/>
  <c r="G39" i="15"/>
  <c r="F39" i="15"/>
  <c r="K38" i="15"/>
  <c r="J38" i="15"/>
  <c r="L38" i="15" s="1"/>
  <c r="G38" i="15"/>
  <c r="F38" i="15"/>
  <c r="K37" i="15"/>
  <c r="L37" i="15" s="1"/>
  <c r="J37" i="15"/>
  <c r="G37" i="15"/>
  <c r="F37" i="15"/>
  <c r="K36" i="15"/>
  <c r="J36" i="15"/>
  <c r="L36" i="15" s="1"/>
  <c r="G36" i="15"/>
  <c r="F36" i="15"/>
  <c r="K35" i="15"/>
  <c r="J35" i="15"/>
  <c r="G35" i="15"/>
  <c r="H35" i="15" s="1"/>
  <c r="F35" i="15"/>
  <c r="K34" i="15"/>
  <c r="J34" i="15"/>
  <c r="G34" i="15"/>
  <c r="F34" i="15"/>
  <c r="K33" i="15"/>
  <c r="J33" i="15"/>
  <c r="H33" i="15"/>
  <c r="G33" i="15"/>
  <c r="F33" i="15"/>
  <c r="K32" i="15"/>
  <c r="J32" i="15"/>
  <c r="G32" i="15"/>
  <c r="F32" i="15"/>
  <c r="K31" i="15"/>
  <c r="J31" i="15"/>
  <c r="G31" i="15"/>
  <c r="F31" i="15"/>
  <c r="K30" i="15"/>
  <c r="J30" i="15"/>
  <c r="G30" i="15"/>
  <c r="F30" i="15"/>
  <c r="K29" i="15"/>
  <c r="J29" i="15"/>
  <c r="G29" i="15"/>
  <c r="F29" i="15"/>
  <c r="K28" i="15"/>
  <c r="J28" i="15"/>
  <c r="G28" i="15"/>
  <c r="F28" i="15"/>
  <c r="K27" i="15"/>
  <c r="J27" i="15"/>
  <c r="G27" i="15"/>
  <c r="F27" i="15"/>
  <c r="K26" i="15"/>
  <c r="J26" i="15"/>
  <c r="G26" i="15"/>
  <c r="F26" i="15"/>
  <c r="K25" i="15"/>
  <c r="J25" i="15"/>
  <c r="G25" i="15"/>
  <c r="F25" i="15"/>
  <c r="K24" i="15"/>
  <c r="J24" i="15"/>
  <c r="G24" i="15"/>
  <c r="H24" i="15" s="1"/>
  <c r="F24" i="15"/>
  <c r="K23" i="15"/>
  <c r="J23" i="15"/>
  <c r="G23" i="15"/>
  <c r="F23" i="15"/>
  <c r="K22" i="15"/>
  <c r="J22" i="15"/>
  <c r="G22" i="15"/>
  <c r="F22" i="15"/>
  <c r="K21" i="15"/>
  <c r="J21" i="15"/>
  <c r="G21" i="15"/>
  <c r="F21" i="15"/>
  <c r="K20" i="15"/>
  <c r="J20" i="15"/>
  <c r="G20" i="15"/>
  <c r="F20" i="15"/>
  <c r="K19" i="15"/>
  <c r="J19" i="15"/>
  <c r="G19" i="15"/>
  <c r="F19" i="15"/>
  <c r="K18" i="15"/>
  <c r="J18" i="15"/>
  <c r="G18" i="15"/>
  <c r="F18" i="15"/>
  <c r="K17" i="15"/>
  <c r="J17" i="15"/>
  <c r="G17" i="15"/>
  <c r="F17" i="15"/>
  <c r="K16" i="15"/>
  <c r="J16" i="15"/>
  <c r="G16" i="15"/>
  <c r="F16" i="15"/>
  <c r="K15" i="15"/>
  <c r="J15" i="15"/>
  <c r="G15" i="15"/>
  <c r="F15" i="15"/>
  <c r="K14" i="15"/>
  <c r="J14" i="15"/>
  <c r="G14" i="15"/>
  <c r="F14" i="15"/>
  <c r="K13" i="15"/>
  <c r="J13" i="15"/>
  <c r="G13" i="15"/>
  <c r="F13" i="15"/>
  <c r="K12" i="15"/>
  <c r="J12" i="15"/>
  <c r="G12" i="15"/>
  <c r="F12" i="15"/>
  <c r="K11" i="15"/>
  <c r="J11" i="15"/>
  <c r="G11" i="15"/>
  <c r="F11" i="15"/>
  <c r="K10" i="15"/>
  <c r="J10" i="15"/>
  <c r="G10" i="15"/>
  <c r="F10" i="15"/>
  <c r="K9" i="15"/>
  <c r="J9" i="15"/>
  <c r="G9" i="15"/>
  <c r="F9" i="15"/>
  <c r="K8" i="15"/>
  <c r="J8" i="15"/>
  <c r="L8" i="15" s="1"/>
  <c r="G8" i="15"/>
  <c r="F8" i="15"/>
  <c r="K7" i="15"/>
  <c r="J7" i="15"/>
  <c r="G7" i="15"/>
  <c r="F7" i="15"/>
  <c r="K6" i="15"/>
  <c r="J6" i="15"/>
  <c r="G6" i="15"/>
  <c r="F6" i="15"/>
  <c r="K5" i="15"/>
  <c r="J5" i="15"/>
  <c r="G5" i="15"/>
  <c r="F5" i="15"/>
  <c r="K4" i="15"/>
  <c r="J4" i="15"/>
  <c r="L4" i="15" s="1"/>
  <c r="G4" i="15"/>
  <c r="F4" i="15"/>
  <c r="K3" i="15"/>
  <c r="J3" i="15"/>
  <c r="G3" i="15"/>
  <c r="F3" i="15"/>
  <c r="K2" i="15"/>
  <c r="L2" i="15" s="1"/>
  <c r="G2" i="15"/>
  <c r="F2" i="15"/>
  <c r="H2" i="15" s="1"/>
  <c r="W5" i="12"/>
  <c r="Y5" i="12" s="1"/>
  <c r="Q189" i="12"/>
  <c r="Y9" i="12"/>
  <c r="Y16" i="12"/>
  <c r="Y17" i="12"/>
  <c r="Y18" i="12"/>
  <c r="Y25" i="12"/>
  <c r="Y26" i="12"/>
  <c r="Y32" i="12"/>
  <c r="Y33" i="12"/>
  <c r="Y40" i="12"/>
  <c r="Y41" i="12"/>
  <c r="Y42" i="12"/>
  <c r="Y49" i="12"/>
  <c r="Y56" i="12"/>
  <c r="Y57" i="12"/>
  <c r="Y65" i="12"/>
  <c r="Y66" i="12"/>
  <c r="Y73" i="12"/>
  <c r="Y80" i="12"/>
  <c r="Y81" i="12"/>
  <c r="Y82" i="12"/>
  <c r="Y89" i="12"/>
  <c r="Y90" i="12"/>
  <c r="Y96" i="12"/>
  <c r="Y97" i="12"/>
  <c r="Y104" i="12"/>
  <c r="Y105" i="12"/>
  <c r="Y106" i="12"/>
  <c r="Y113" i="12"/>
  <c r="Y120" i="12"/>
  <c r="Y121" i="12"/>
  <c r="Y129" i="12"/>
  <c r="Y130" i="12"/>
  <c r="Y137" i="12"/>
  <c r="Y144" i="12"/>
  <c r="Y145" i="12"/>
  <c r="Y146" i="12"/>
  <c r="Y153" i="12"/>
  <c r="Y154" i="12"/>
  <c r="Y160" i="12"/>
  <c r="Y161" i="12"/>
  <c r="Y168" i="12"/>
  <c r="Y169" i="12"/>
  <c r="Y170" i="12"/>
  <c r="Y177" i="12"/>
  <c r="Y184"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159" i="12"/>
  <c r="X160" i="12"/>
  <c r="X161" i="12"/>
  <c r="X162" i="12"/>
  <c r="X163" i="12"/>
  <c r="X164" i="12"/>
  <c r="X165" i="12"/>
  <c r="X166" i="12"/>
  <c r="X167" i="12"/>
  <c r="X168" i="12"/>
  <c r="X169" i="12"/>
  <c r="X170" i="12"/>
  <c r="X171" i="12"/>
  <c r="X172" i="12"/>
  <c r="X173" i="12"/>
  <c r="X174" i="12"/>
  <c r="X175" i="12"/>
  <c r="X176" i="12"/>
  <c r="X177" i="12"/>
  <c r="X178" i="12"/>
  <c r="X179" i="12"/>
  <c r="X180" i="12"/>
  <c r="X181" i="12"/>
  <c r="X182" i="12"/>
  <c r="X183" i="12"/>
  <c r="X184" i="12"/>
  <c r="X5" i="12"/>
  <c r="W184" i="12"/>
  <c r="W183" i="12"/>
  <c r="Y183" i="12" s="1"/>
  <c r="W182" i="12"/>
  <c r="Y182" i="12" s="1"/>
  <c r="W181" i="12"/>
  <c r="Y181" i="12" s="1"/>
  <c r="W180" i="12"/>
  <c r="Y180" i="12" s="1"/>
  <c r="W179" i="12"/>
  <c r="Y179" i="12" s="1"/>
  <c r="W178" i="12"/>
  <c r="Y178" i="12" s="1"/>
  <c r="W177" i="12"/>
  <c r="W176" i="12"/>
  <c r="Y176" i="12" s="1"/>
  <c r="W175" i="12"/>
  <c r="Y175" i="12" s="1"/>
  <c r="W174" i="12"/>
  <c r="Y174" i="12" s="1"/>
  <c r="W173" i="12"/>
  <c r="Y173" i="12" s="1"/>
  <c r="W172" i="12"/>
  <c r="Y172" i="12" s="1"/>
  <c r="W171" i="12"/>
  <c r="Y171" i="12" s="1"/>
  <c r="W170" i="12"/>
  <c r="W169" i="12"/>
  <c r="W168" i="12"/>
  <c r="W167" i="12"/>
  <c r="Y167" i="12" s="1"/>
  <c r="W166" i="12"/>
  <c r="Y166" i="12" s="1"/>
  <c r="W165" i="12"/>
  <c r="Y165" i="12" s="1"/>
  <c r="W164" i="12"/>
  <c r="Y164" i="12" s="1"/>
  <c r="W163" i="12"/>
  <c r="Y163" i="12" s="1"/>
  <c r="W162" i="12"/>
  <c r="Y162" i="12" s="1"/>
  <c r="W161" i="12"/>
  <c r="W160" i="12"/>
  <c r="W159" i="12"/>
  <c r="Y159" i="12" s="1"/>
  <c r="W158" i="12"/>
  <c r="Y158" i="12" s="1"/>
  <c r="W157" i="12"/>
  <c r="Y157" i="12" s="1"/>
  <c r="W156" i="12"/>
  <c r="Y156" i="12" s="1"/>
  <c r="W155" i="12"/>
  <c r="Y155" i="12" s="1"/>
  <c r="W154" i="12"/>
  <c r="W153" i="12"/>
  <c r="W152" i="12"/>
  <c r="Y152" i="12" s="1"/>
  <c r="W151" i="12"/>
  <c r="Y151" i="12" s="1"/>
  <c r="W150" i="12"/>
  <c r="Y150" i="12" s="1"/>
  <c r="W149" i="12"/>
  <c r="Y149" i="12" s="1"/>
  <c r="W148" i="12"/>
  <c r="Y148" i="12" s="1"/>
  <c r="W147" i="12"/>
  <c r="Y147" i="12" s="1"/>
  <c r="W146" i="12"/>
  <c r="W145" i="12"/>
  <c r="W144" i="12"/>
  <c r="W143" i="12"/>
  <c r="Y143" i="12" s="1"/>
  <c r="W142" i="12"/>
  <c r="Y142" i="12" s="1"/>
  <c r="W141" i="12"/>
  <c r="Y141" i="12" s="1"/>
  <c r="W140" i="12"/>
  <c r="Y140" i="12" s="1"/>
  <c r="W139" i="12"/>
  <c r="Y139" i="12" s="1"/>
  <c r="W138" i="12"/>
  <c r="Y138" i="12" s="1"/>
  <c r="W137" i="12"/>
  <c r="W136" i="12"/>
  <c r="Y136" i="12" s="1"/>
  <c r="W135" i="12"/>
  <c r="Y135" i="12" s="1"/>
  <c r="W134" i="12"/>
  <c r="Y134" i="12" s="1"/>
  <c r="W133" i="12"/>
  <c r="Y133" i="12" s="1"/>
  <c r="W132" i="12"/>
  <c r="Y132" i="12" s="1"/>
  <c r="W131" i="12"/>
  <c r="Y131" i="12" s="1"/>
  <c r="W130" i="12"/>
  <c r="W129" i="12"/>
  <c r="W128" i="12"/>
  <c r="Y128" i="12" s="1"/>
  <c r="W127" i="12"/>
  <c r="Y127" i="12" s="1"/>
  <c r="W126" i="12"/>
  <c r="Y126" i="12" s="1"/>
  <c r="W125" i="12"/>
  <c r="Y125" i="12" s="1"/>
  <c r="W124" i="12"/>
  <c r="Y124" i="12" s="1"/>
  <c r="W123" i="12"/>
  <c r="Y123" i="12" s="1"/>
  <c r="W122" i="12"/>
  <c r="Y122" i="12" s="1"/>
  <c r="W121" i="12"/>
  <c r="W120" i="12"/>
  <c r="W119" i="12"/>
  <c r="Y119" i="12" s="1"/>
  <c r="W118" i="12"/>
  <c r="Y118" i="12" s="1"/>
  <c r="W117" i="12"/>
  <c r="Y117" i="12" s="1"/>
  <c r="W116" i="12"/>
  <c r="Y116" i="12" s="1"/>
  <c r="W115" i="12"/>
  <c r="Y115" i="12" s="1"/>
  <c r="W114" i="12"/>
  <c r="Y114" i="12" s="1"/>
  <c r="W113" i="12"/>
  <c r="W112" i="12"/>
  <c r="Y112" i="12" s="1"/>
  <c r="W111" i="12"/>
  <c r="Y111" i="12" s="1"/>
  <c r="W110" i="12"/>
  <c r="Y110" i="12" s="1"/>
  <c r="W109" i="12"/>
  <c r="Y109" i="12" s="1"/>
  <c r="W108" i="12"/>
  <c r="Y108" i="12" s="1"/>
  <c r="W107" i="12"/>
  <c r="Y107" i="12" s="1"/>
  <c r="W106" i="12"/>
  <c r="W105" i="12"/>
  <c r="W104" i="12"/>
  <c r="W103" i="12"/>
  <c r="Y103" i="12" s="1"/>
  <c r="W102" i="12"/>
  <c r="Y102" i="12" s="1"/>
  <c r="W101" i="12"/>
  <c r="Y101" i="12" s="1"/>
  <c r="W100" i="12"/>
  <c r="Y100" i="12" s="1"/>
  <c r="W99" i="12"/>
  <c r="Y99" i="12" s="1"/>
  <c r="W98" i="12"/>
  <c r="Y98" i="12" s="1"/>
  <c r="W97" i="12"/>
  <c r="W96" i="12"/>
  <c r="W95" i="12"/>
  <c r="Y95" i="12" s="1"/>
  <c r="W94" i="12"/>
  <c r="Y94" i="12" s="1"/>
  <c r="W93" i="12"/>
  <c r="Y93" i="12" s="1"/>
  <c r="W92" i="12"/>
  <c r="Y92" i="12" s="1"/>
  <c r="W91" i="12"/>
  <c r="Y91" i="12" s="1"/>
  <c r="W90" i="12"/>
  <c r="W89" i="12"/>
  <c r="W88" i="12"/>
  <c r="Y88" i="12" s="1"/>
  <c r="W87" i="12"/>
  <c r="Y87" i="12" s="1"/>
  <c r="W86" i="12"/>
  <c r="Y86" i="12" s="1"/>
  <c r="W85" i="12"/>
  <c r="Y85" i="12" s="1"/>
  <c r="W84" i="12"/>
  <c r="Y84" i="12" s="1"/>
  <c r="W83" i="12"/>
  <c r="Y83" i="12" s="1"/>
  <c r="W82" i="12"/>
  <c r="W81" i="12"/>
  <c r="W80" i="12"/>
  <c r="W79" i="12"/>
  <c r="Y79" i="12" s="1"/>
  <c r="W78" i="12"/>
  <c r="Y78" i="12" s="1"/>
  <c r="W77" i="12"/>
  <c r="Y77" i="12" s="1"/>
  <c r="W76" i="12"/>
  <c r="Y76" i="12" s="1"/>
  <c r="W75" i="12"/>
  <c r="Y75" i="12" s="1"/>
  <c r="W74" i="12"/>
  <c r="Y74" i="12" s="1"/>
  <c r="W73" i="12"/>
  <c r="W72" i="12"/>
  <c r="Y72" i="12" s="1"/>
  <c r="W71" i="12"/>
  <c r="Y71" i="12" s="1"/>
  <c r="W70" i="12"/>
  <c r="Y70" i="12" s="1"/>
  <c r="W69" i="12"/>
  <c r="Y69" i="12" s="1"/>
  <c r="W68" i="12"/>
  <c r="Y68" i="12" s="1"/>
  <c r="W67" i="12"/>
  <c r="Y67" i="12" s="1"/>
  <c r="W66" i="12"/>
  <c r="W65" i="12"/>
  <c r="W64" i="12"/>
  <c r="Y64" i="12" s="1"/>
  <c r="W63" i="12"/>
  <c r="Y63" i="12" s="1"/>
  <c r="W62" i="12"/>
  <c r="Y62" i="12" s="1"/>
  <c r="W61" i="12"/>
  <c r="Y61" i="12" s="1"/>
  <c r="W60" i="12"/>
  <c r="Y60" i="12" s="1"/>
  <c r="W59" i="12"/>
  <c r="Y59" i="12" s="1"/>
  <c r="W58" i="12"/>
  <c r="Y58" i="12" s="1"/>
  <c r="W57" i="12"/>
  <c r="W56" i="12"/>
  <c r="W55" i="12"/>
  <c r="Y55" i="12" s="1"/>
  <c r="W54" i="12"/>
  <c r="Y54" i="12" s="1"/>
  <c r="W53" i="12"/>
  <c r="Y53" i="12" s="1"/>
  <c r="W52" i="12"/>
  <c r="Y52" i="12" s="1"/>
  <c r="W51" i="12"/>
  <c r="Y51" i="12" s="1"/>
  <c r="W50" i="12"/>
  <c r="Y50" i="12" s="1"/>
  <c r="W49" i="12"/>
  <c r="W48" i="12"/>
  <c r="Y48" i="12" s="1"/>
  <c r="W47" i="12"/>
  <c r="Y47" i="12" s="1"/>
  <c r="W46" i="12"/>
  <c r="Y46" i="12" s="1"/>
  <c r="W45" i="12"/>
  <c r="Y45" i="12" s="1"/>
  <c r="W44" i="12"/>
  <c r="Y44" i="12" s="1"/>
  <c r="W43" i="12"/>
  <c r="Y43" i="12" s="1"/>
  <c r="W42" i="12"/>
  <c r="W41" i="12"/>
  <c r="W40" i="12"/>
  <c r="W39" i="12"/>
  <c r="Y39" i="12" s="1"/>
  <c r="W38" i="12"/>
  <c r="Y38" i="12" s="1"/>
  <c r="W37" i="12"/>
  <c r="Y37" i="12" s="1"/>
  <c r="W36" i="12"/>
  <c r="Y36" i="12" s="1"/>
  <c r="W35" i="12"/>
  <c r="Y35" i="12" s="1"/>
  <c r="W34" i="12"/>
  <c r="Y34" i="12" s="1"/>
  <c r="W33" i="12"/>
  <c r="W32" i="12"/>
  <c r="W31" i="12"/>
  <c r="Y31" i="12" s="1"/>
  <c r="W30" i="12"/>
  <c r="Y30" i="12" s="1"/>
  <c r="W29" i="12"/>
  <c r="Y29" i="12" s="1"/>
  <c r="W28" i="12"/>
  <c r="Y28" i="12" s="1"/>
  <c r="W27" i="12"/>
  <c r="Y27" i="12" s="1"/>
  <c r="W26" i="12"/>
  <c r="W25" i="12"/>
  <c r="W24" i="12"/>
  <c r="Y24" i="12" s="1"/>
  <c r="W23" i="12"/>
  <c r="Y23" i="12" s="1"/>
  <c r="W22" i="12"/>
  <c r="Y22" i="12" s="1"/>
  <c r="W21" i="12"/>
  <c r="Y21" i="12" s="1"/>
  <c r="W20" i="12"/>
  <c r="Y20" i="12" s="1"/>
  <c r="W19" i="12"/>
  <c r="Y19" i="12" s="1"/>
  <c r="W18" i="12"/>
  <c r="W17" i="12"/>
  <c r="W16" i="12"/>
  <c r="W15" i="12"/>
  <c r="Y15" i="12" s="1"/>
  <c r="W14" i="12"/>
  <c r="Y14" i="12" s="1"/>
  <c r="W13" i="12"/>
  <c r="Y13" i="12" s="1"/>
  <c r="W12" i="12"/>
  <c r="Y12" i="12" s="1"/>
  <c r="W11" i="12"/>
  <c r="Y11" i="12" s="1"/>
  <c r="W10" i="12"/>
  <c r="Y10" i="12" s="1"/>
  <c r="W9" i="12"/>
  <c r="W8" i="12"/>
  <c r="Y8" i="12" s="1"/>
  <c r="W7" i="12"/>
  <c r="Y7" i="12" s="1"/>
  <c r="W6" i="12"/>
  <c r="Y6" i="12" s="1"/>
  <c r="Q192" i="12"/>
  <c r="Q191" i="12"/>
  <c r="Q190" i="12"/>
  <c r="R185" i="12"/>
  <c r="S23" i="12"/>
  <c r="S24" i="12"/>
  <c r="S25" i="12"/>
  <c r="U25" i="12" s="1"/>
  <c r="S26" i="12"/>
  <c r="S27" i="12"/>
  <c r="S28" i="12"/>
  <c r="S29" i="12"/>
  <c r="S30" i="12"/>
  <c r="S31" i="12"/>
  <c r="S32" i="12"/>
  <c r="S33" i="12"/>
  <c r="U33" i="12" s="1"/>
  <c r="S34" i="12"/>
  <c r="U34" i="12" s="1"/>
  <c r="S35" i="12"/>
  <c r="S36" i="12"/>
  <c r="S37" i="12"/>
  <c r="S38" i="12"/>
  <c r="S39" i="12"/>
  <c r="U39" i="12" s="1"/>
  <c r="S40" i="12"/>
  <c r="S41" i="12"/>
  <c r="U41" i="12" s="1"/>
  <c r="S42" i="12"/>
  <c r="U42" i="12" s="1"/>
  <c r="S43" i="12"/>
  <c r="S44" i="12"/>
  <c r="S45" i="12"/>
  <c r="U45" i="12" s="1"/>
  <c r="S46" i="12"/>
  <c r="S47" i="12"/>
  <c r="S48" i="12"/>
  <c r="S49" i="12"/>
  <c r="U49" i="12" s="1"/>
  <c r="S50" i="12"/>
  <c r="U50" i="12" s="1"/>
  <c r="S51" i="12"/>
  <c r="S52" i="12"/>
  <c r="S53" i="12"/>
  <c r="S54" i="12"/>
  <c r="S55" i="12"/>
  <c r="U55" i="12" s="1"/>
  <c r="S56" i="12"/>
  <c r="S57" i="12"/>
  <c r="S58" i="12"/>
  <c r="U58" i="12" s="1"/>
  <c r="S59" i="12"/>
  <c r="S60" i="12"/>
  <c r="S61" i="12"/>
  <c r="S62" i="12"/>
  <c r="U62" i="12" s="1"/>
  <c r="S63" i="12"/>
  <c r="U63" i="12" s="1"/>
  <c r="S64" i="12"/>
  <c r="S65" i="12"/>
  <c r="U65" i="12" s="1"/>
  <c r="S66" i="12"/>
  <c r="U66" i="12" s="1"/>
  <c r="S67" i="12"/>
  <c r="S68" i="12"/>
  <c r="S69" i="12"/>
  <c r="U69" i="12" s="1"/>
  <c r="S70" i="12"/>
  <c r="S71" i="12"/>
  <c r="S72" i="12"/>
  <c r="S73" i="12"/>
  <c r="U73" i="12" s="1"/>
  <c r="S74" i="12"/>
  <c r="U74" i="12" s="1"/>
  <c r="S75" i="12"/>
  <c r="S76" i="12"/>
  <c r="U76" i="12" s="1"/>
  <c r="S77" i="12"/>
  <c r="S78" i="12"/>
  <c r="S79" i="12"/>
  <c r="U79" i="12" s="1"/>
  <c r="S80" i="12"/>
  <c r="S81" i="12"/>
  <c r="U81" i="12" s="1"/>
  <c r="S82" i="12"/>
  <c r="U82" i="12" s="1"/>
  <c r="S83" i="12"/>
  <c r="S84" i="12"/>
  <c r="S85" i="12"/>
  <c r="S86" i="12"/>
  <c r="S87" i="12"/>
  <c r="S88" i="12"/>
  <c r="S89" i="12"/>
  <c r="U89" i="12" s="1"/>
  <c r="S90" i="12"/>
  <c r="U90" i="12" s="1"/>
  <c r="S91" i="12"/>
  <c r="S92" i="12"/>
  <c r="U92" i="12" s="1"/>
  <c r="S93" i="12"/>
  <c r="U93" i="12" s="1"/>
  <c r="S94" i="12"/>
  <c r="U94" i="12" s="1"/>
  <c r="S95" i="12"/>
  <c r="U95" i="12" s="1"/>
  <c r="S96" i="12"/>
  <c r="S97" i="12"/>
  <c r="U97" i="12" s="1"/>
  <c r="S98" i="12"/>
  <c r="U98" i="12" s="1"/>
  <c r="S99" i="12"/>
  <c r="S100" i="12"/>
  <c r="S101" i="12"/>
  <c r="S102" i="12"/>
  <c r="S103" i="12"/>
  <c r="U103" i="12" s="1"/>
  <c r="S104" i="12"/>
  <c r="S105" i="12"/>
  <c r="U105" i="12" s="1"/>
  <c r="S106" i="12"/>
  <c r="U106" i="12" s="1"/>
  <c r="S107" i="12"/>
  <c r="S108" i="12"/>
  <c r="S109" i="12"/>
  <c r="S110" i="12"/>
  <c r="S111" i="12"/>
  <c r="S112" i="12"/>
  <c r="S113" i="12"/>
  <c r="U113" i="12" s="1"/>
  <c r="S114" i="12"/>
  <c r="U114" i="12" s="1"/>
  <c r="S115" i="12"/>
  <c r="S116" i="12"/>
  <c r="S117" i="12"/>
  <c r="S118" i="12"/>
  <c r="U118" i="12" s="1"/>
  <c r="S119" i="12"/>
  <c r="U119" i="12" s="1"/>
  <c r="S120" i="12"/>
  <c r="S121" i="12"/>
  <c r="S122" i="12"/>
  <c r="U122" i="12" s="1"/>
  <c r="S123" i="12"/>
  <c r="S124" i="12"/>
  <c r="S125" i="12"/>
  <c r="S126" i="12"/>
  <c r="U126" i="12" s="1"/>
  <c r="S127" i="12"/>
  <c r="S128" i="12"/>
  <c r="S129" i="12"/>
  <c r="U129" i="12" s="1"/>
  <c r="S130" i="12"/>
  <c r="U130" i="12" s="1"/>
  <c r="S131" i="12"/>
  <c r="S132" i="12"/>
  <c r="S133" i="12"/>
  <c r="S134" i="12"/>
  <c r="S135" i="12"/>
  <c r="U135" i="12" s="1"/>
  <c r="S136" i="12"/>
  <c r="S137" i="12"/>
  <c r="U137" i="12" s="1"/>
  <c r="S138" i="12"/>
  <c r="U138" i="12" s="1"/>
  <c r="S139" i="12"/>
  <c r="S140" i="12"/>
  <c r="S141" i="12"/>
  <c r="U141" i="12" s="1"/>
  <c r="S142" i="12"/>
  <c r="S143" i="12"/>
  <c r="S144" i="12"/>
  <c r="S145" i="12"/>
  <c r="U145" i="12" s="1"/>
  <c r="S146" i="12"/>
  <c r="U146" i="12" s="1"/>
  <c r="S147" i="12"/>
  <c r="S148" i="12"/>
  <c r="S149" i="12"/>
  <c r="U149" i="12" s="1"/>
  <c r="S150" i="12"/>
  <c r="S151" i="12"/>
  <c r="U151" i="12" s="1"/>
  <c r="S152" i="12"/>
  <c r="S153" i="12"/>
  <c r="U153" i="12" s="1"/>
  <c r="S154" i="12"/>
  <c r="U154" i="12" s="1"/>
  <c r="S155" i="12"/>
  <c r="S156" i="12"/>
  <c r="S157" i="12"/>
  <c r="S158" i="12"/>
  <c r="U158" i="12" s="1"/>
  <c r="S159" i="12"/>
  <c r="S160" i="12"/>
  <c r="S161" i="12"/>
  <c r="U161" i="12" s="1"/>
  <c r="S162" i="12"/>
  <c r="U162" i="12" s="1"/>
  <c r="S163" i="12"/>
  <c r="S164" i="12"/>
  <c r="U164" i="12" s="1"/>
  <c r="S165" i="12"/>
  <c r="S166" i="12"/>
  <c r="U166" i="12" s="1"/>
  <c r="S167" i="12"/>
  <c r="S168" i="12"/>
  <c r="U168" i="12" s="1"/>
  <c r="S169" i="12"/>
  <c r="S170" i="12"/>
  <c r="U170" i="12" s="1"/>
  <c r="S171" i="12"/>
  <c r="S172" i="12"/>
  <c r="U172" i="12" s="1"/>
  <c r="S173" i="12"/>
  <c r="S174" i="12"/>
  <c r="U174" i="12" s="1"/>
  <c r="S175" i="12"/>
  <c r="S176" i="12"/>
  <c r="U176" i="12" s="1"/>
  <c r="S177" i="12"/>
  <c r="U177" i="12" s="1"/>
  <c r="S178" i="12"/>
  <c r="U178" i="12" s="1"/>
  <c r="S179" i="12"/>
  <c r="S180" i="12"/>
  <c r="S181" i="12"/>
  <c r="S182" i="12"/>
  <c r="S183" i="12"/>
  <c r="U183" i="12" s="1"/>
  <c r="S184" i="12"/>
  <c r="U184" i="12" s="1"/>
  <c r="S6" i="12"/>
  <c r="U6" i="12" s="1"/>
  <c r="S7" i="12"/>
  <c r="U7" i="12" s="1"/>
  <c r="S8" i="12"/>
  <c r="S9" i="12"/>
  <c r="S10" i="12"/>
  <c r="S11" i="12"/>
  <c r="U11" i="12" s="1"/>
  <c r="S12" i="12"/>
  <c r="S13" i="12"/>
  <c r="U13" i="12" s="1"/>
  <c r="S14" i="12"/>
  <c r="U14" i="12" s="1"/>
  <c r="S15" i="12"/>
  <c r="S16" i="12"/>
  <c r="S17" i="12"/>
  <c r="U17" i="12" s="1"/>
  <c r="S18" i="12"/>
  <c r="U18" i="12" s="1"/>
  <c r="S19" i="12"/>
  <c r="U19" i="12" s="1"/>
  <c r="S20" i="12"/>
  <c r="S21" i="12"/>
  <c r="S22" i="12"/>
  <c r="S5" i="12"/>
  <c r="U5" i="12" s="1"/>
  <c r="T184" i="12"/>
  <c r="T183" i="12"/>
  <c r="T182" i="12"/>
  <c r="U182" i="12"/>
  <c r="T181" i="12"/>
  <c r="T180" i="12"/>
  <c r="T179" i="12"/>
  <c r="T178" i="12"/>
  <c r="T177" i="12"/>
  <c r="T176" i="12"/>
  <c r="T175" i="12"/>
  <c r="T174" i="12"/>
  <c r="T173" i="12"/>
  <c r="T172" i="12"/>
  <c r="T171" i="12"/>
  <c r="T170" i="12"/>
  <c r="T169" i="12"/>
  <c r="T168" i="12"/>
  <c r="U167" i="12"/>
  <c r="T167" i="12"/>
  <c r="T166" i="12"/>
  <c r="T165" i="12"/>
  <c r="T164" i="12"/>
  <c r="T163" i="12"/>
  <c r="T162" i="12"/>
  <c r="T161" i="12"/>
  <c r="T160" i="12"/>
  <c r="U160" i="12"/>
  <c r="T159" i="12"/>
  <c r="T158" i="12"/>
  <c r="T157" i="12"/>
  <c r="T156" i="12"/>
  <c r="U156" i="12"/>
  <c r="T155" i="12"/>
  <c r="T154" i="12"/>
  <c r="T153" i="12"/>
  <c r="T152" i="12"/>
  <c r="T151" i="12"/>
  <c r="T150" i="12"/>
  <c r="U150" i="12"/>
  <c r="T149" i="12"/>
  <c r="T148" i="12"/>
  <c r="T147" i="12"/>
  <c r="T146" i="12"/>
  <c r="T145" i="12"/>
  <c r="T144" i="12"/>
  <c r="U144" i="12" s="1"/>
  <c r="T143" i="12"/>
  <c r="T142" i="12"/>
  <c r="U142" i="12" s="1"/>
  <c r="T141" i="12"/>
  <c r="T140" i="12"/>
  <c r="T139" i="12"/>
  <c r="U139" i="12" s="1"/>
  <c r="T138" i="12"/>
  <c r="T137" i="12"/>
  <c r="T136" i="12"/>
  <c r="U136" i="12" s="1"/>
  <c r="T135" i="12"/>
  <c r="T134" i="12"/>
  <c r="T133" i="12"/>
  <c r="T132" i="12"/>
  <c r="T131" i="12"/>
  <c r="U131" i="12"/>
  <c r="T130" i="12"/>
  <c r="T129" i="12"/>
  <c r="T128" i="12"/>
  <c r="T127" i="12"/>
  <c r="T126" i="12"/>
  <c r="T125" i="12"/>
  <c r="T124" i="12"/>
  <c r="T123" i="12"/>
  <c r="U123" i="12"/>
  <c r="T122" i="12"/>
  <c r="T121" i="12"/>
  <c r="U121" i="12"/>
  <c r="T120" i="12"/>
  <c r="U120" i="12" s="1"/>
  <c r="T119" i="12"/>
  <c r="T118" i="12"/>
  <c r="T117" i="12"/>
  <c r="U117" i="12" s="1"/>
  <c r="T116" i="12"/>
  <c r="T115" i="12"/>
  <c r="U115" i="12" s="1"/>
  <c r="T114" i="12"/>
  <c r="T113" i="12"/>
  <c r="T112" i="12"/>
  <c r="U112" i="12" s="1"/>
  <c r="T111" i="12"/>
  <c r="T110" i="12"/>
  <c r="U109" i="12"/>
  <c r="T109" i="12"/>
  <c r="T108" i="12"/>
  <c r="T107" i="12"/>
  <c r="T106" i="12"/>
  <c r="T105" i="12"/>
  <c r="T104" i="12"/>
  <c r="T103" i="12"/>
  <c r="T102" i="12"/>
  <c r="U102" i="12"/>
  <c r="U101" i="12"/>
  <c r="T101" i="12"/>
  <c r="T100" i="12"/>
  <c r="T99" i="12"/>
  <c r="T98" i="12"/>
  <c r="T97" i="12"/>
  <c r="T96" i="12"/>
  <c r="U96" i="12" s="1"/>
  <c r="T95" i="12"/>
  <c r="T94" i="12"/>
  <c r="T93" i="12"/>
  <c r="T92" i="12"/>
  <c r="T91" i="12"/>
  <c r="T90" i="12"/>
  <c r="T89" i="12"/>
  <c r="T88" i="12"/>
  <c r="T87" i="12"/>
  <c r="T86" i="12"/>
  <c r="U86" i="12"/>
  <c r="T85" i="12"/>
  <c r="T84" i="12"/>
  <c r="U84" i="12"/>
  <c r="T83" i="12"/>
  <c r="T82" i="12"/>
  <c r="T81" i="12"/>
  <c r="T80" i="12"/>
  <c r="U80" i="12" s="1"/>
  <c r="T79" i="12"/>
  <c r="T78" i="12"/>
  <c r="U78" i="12" s="1"/>
  <c r="T77" i="12"/>
  <c r="T76" i="12"/>
  <c r="T75" i="12"/>
  <c r="U75" i="12" s="1"/>
  <c r="T74" i="12"/>
  <c r="T73" i="12"/>
  <c r="T72" i="12"/>
  <c r="T71" i="12"/>
  <c r="U71" i="12" s="1"/>
  <c r="T70" i="12"/>
  <c r="T69" i="12"/>
  <c r="T68" i="12"/>
  <c r="T67" i="12"/>
  <c r="U67" i="12"/>
  <c r="T66" i="12"/>
  <c r="T65" i="12"/>
  <c r="T64" i="12"/>
  <c r="T63" i="12"/>
  <c r="T62" i="12"/>
  <c r="T61" i="12"/>
  <c r="T60" i="12"/>
  <c r="T59" i="12"/>
  <c r="U59" i="12"/>
  <c r="T58" i="12"/>
  <c r="T57" i="12"/>
  <c r="U57" i="12"/>
  <c r="T56" i="12"/>
  <c r="U56" i="12" s="1"/>
  <c r="T55" i="12"/>
  <c r="T54" i="12"/>
  <c r="T53" i="12"/>
  <c r="U53" i="12" s="1"/>
  <c r="T52" i="12"/>
  <c r="T51" i="12"/>
  <c r="T50" i="12"/>
  <c r="T49" i="12"/>
  <c r="T48" i="12"/>
  <c r="T47" i="12"/>
  <c r="T46" i="12"/>
  <c r="T45" i="12"/>
  <c r="T44" i="12"/>
  <c r="U44" i="12" s="1"/>
  <c r="T43" i="12"/>
  <c r="T42" i="12"/>
  <c r="T41" i="12"/>
  <c r="T40" i="12"/>
  <c r="U40" i="12" s="1"/>
  <c r="T39" i="12"/>
  <c r="T38" i="12"/>
  <c r="U38" i="12"/>
  <c r="T37" i="12"/>
  <c r="T36" i="12"/>
  <c r="T35" i="12"/>
  <c r="U35" i="12" s="1"/>
  <c r="T34" i="12"/>
  <c r="T33" i="12"/>
  <c r="T32" i="12"/>
  <c r="U32" i="12" s="1"/>
  <c r="T31" i="12"/>
  <c r="T30" i="12"/>
  <c r="U30" i="12" s="1"/>
  <c r="T29" i="12"/>
  <c r="T28" i="12"/>
  <c r="T27" i="12"/>
  <c r="U27" i="12"/>
  <c r="T26" i="12"/>
  <c r="U26" i="12" s="1"/>
  <c r="T25" i="12"/>
  <c r="T24" i="12"/>
  <c r="T23" i="12"/>
  <c r="U23" i="12" s="1"/>
  <c r="T22" i="12"/>
  <c r="U22" i="12"/>
  <c r="T21" i="12"/>
  <c r="T20" i="12"/>
  <c r="T19" i="12"/>
  <c r="T18" i="12"/>
  <c r="T17" i="12"/>
  <c r="T16" i="12"/>
  <c r="U16" i="12" s="1"/>
  <c r="U15" i="12"/>
  <c r="T15" i="12"/>
  <c r="T14" i="12"/>
  <c r="T13" i="12"/>
  <c r="T12" i="12"/>
  <c r="T11" i="12"/>
  <c r="T10" i="12"/>
  <c r="T9" i="12"/>
  <c r="T8" i="12"/>
  <c r="U8" i="12" s="1"/>
  <c r="T7" i="12"/>
  <c r="T6" i="12"/>
  <c r="T5" i="12"/>
  <c r="K31" i="12"/>
  <c r="K29" i="12"/>
  <c r="K28" i="12"/>
  <c r="K27" i="12"/>
  <c r="K26" i="12"/>
  <c r="K21" i="12"/>
  <c r="K20" i="12"/>
  <c r="K19" i="12"/>
  <c r="K18" i="12"/>
  <c r="J33" i="12"/>
  <c r="J32" i="12"/>
  <c r="J31" i="12"/>
  <c r="J30" i="12"/>
  <c r="J25" i="12"/>
  <c r="J24" i="12"/>
  <c r="J23" i="12"/>
  <c r="J22" i="12"/>
  <c r="J17" i="12"/>
  <c r="J16" i="12"/>
  <c r="J15" i="12"/>
  <c r="J14" i="12"/>
  <c r="K7" i="12"/>
  <c r="L13" i="12"/>
  <c r="K24" i="12" s="1"/>
  <c r="K8" i="12"/>
  <c r="K32" i="12" s="1"/>
  <c r="B67" i="12"/>
  <c r="E64" i="12"/>
  <c r="D64" i="12"/>
  <c r="C64" i="12"/>
  <c r="B64" i="12"/>
  <c r="F63" i="12"/>
  <c r="F62" i="12"/>
  <c r="F61" i="12"/>
  <c r="F60" i="12"/>
  <c r="L85" i="15" l="1"/>
  <c r="L97" i="15"/>
  <c r="L5" i="15"/>
  <c r="L13" i="15"/>
  <c r="L17" i="15"/>
  <c r="L29" i="15"/>
  <c r="H59" i="15"/>
  <c r="H91" i="15"/>
  <c r="H93" i="15"/>
  <c r="H95" i="15"/>
  <c r="L89" i="15"/>
  <c r="H10" i="15"/>
  <c r="H12" i="15"/>
  <c r="H14" i="15"/>
  <c r="H32" i="15"/>
  <c r="H40" i="15"/>
  <c r="L83" i="15"/>
  <c r="H3" i="15"/>
  <c r="H5" i="15"/>
  <c r="H7" i="15"/>
  <c r="H9" i="15"/>
  <c r="H11" i="15"/>
  <c r="H19" i="15"/>
  <c r="H21" i="15"/>
  <c r="H23" i="15"/>
  <c r="H29" i="15"/>
  <c r="H31" i="15"/>
  <c r="L44" i="15"/>
  <c r="L46" i="15"/>
  <c r="H82" i="15"/>
  <c r="H90" i="15"/>
  <c r="L84" i="15"/>
  <c r="L86" i="15"/>
  <c r="H114" i="15"/>
  <c r="H124" i="15"/>
  <c r="H126" i="15"/>
  <c r="H128" i="15"/>
  <c r="H132" i="15"/>
  <c r="H134" i="15"/>
  <c r="H136" i="15"/>
  <c r="H138" i="15"/>
  <c r="H146" i="15"/>
  <c r="H96" i="15"/>
  <c r="L109" i="15"/>
  <c r="H168" i="15"/>
  <c r="L12" i="15"/>
  <c r="L20" i="15"/>
  <c r="L28" i="15"/>
  <c r="L30" i="15"/>
  <c r="H34" i="15"/>
  <c r="L41" i="15"/>
  <c r="L45" i="15"/>
  <c r="H67" i="15"/>
  <c r="H75" i="15"/>
  <c r="H77" i="15"/>
  <c r="H79" i="15"/>
  <c r="L92" i="15"/>
  <c r="L94" i="15"/>
  <c r="H100" i="15"/>
  <c r="H102" i="15"/>
  <c r="H104" i="15"/>
  <c r="H106" i="15"/>
  <c r="L113" i="15"/>
  <c r="L125" i="15"/>
  <c r="L135" i="15"/>
  <c r="H153" i="15"/>
  <c r="L164" i="15"/>
  <c r="L166" i="15"/>
  <c r="L65" i="15"/>
  <c r="H122" i="15"/>
  <c r="L141" i="15"/>
  <c r="L145" i="15"/>
  <c r="L151" i="15"/>
  <c r="H27" i="15"/>
  <c r="H64" i="15"/>
  <c r="L81" i="15"/>
  <c r="H97" i="15"/>
  <c r="L118" i="15"/>
  <c r="H175" i="15"/>
  <c r="L19" i="15"/>
  <c r="H37" i="15"/>
  <c r="H39" i="15"/>
  <c r="L48" i="15"/>
  <c r="L60" i="15"/>
  <c r="L62" i="15"/>
  <c r="H68" i="15"/>
  <c r="H70" i="15"/>
  <c r="H72" i="15"/>
  <c r="H74" i="15"/>
  <c r="H80" i="15"/>
  <c r="H107" i="15"/>
  <c r="H109" i="15"/>
  <c r="H111" i="15"/>
  <c r="L134" i="15"/>
  <c r="H144" i="15"/>
  <c r="H150" i="15"/>
  <c r="H152" i="15"/>
  <c r="H84" i="15"/>
  <c r="H86" i="15"/>
  <c r="H88" i="15"/>
  <c r="H115" i="15"/>
  <c r="H117" i="15"/>
  <c r="H119" i="15"/>
  <c r="H121" i="15"/>
  <c r="H129" i="15"/>
  <c r="L142" i="15"/>
  <c r="H16" i="15"/>
  <c r="H18" i="15"/>
  <c r="H26" i="15"/>
  <c r="H28" i="15"/>
  <c r="H30" i="15"/>
  <c r="H49" i="15"/>
  <c r="H51" i="15"/>
  <c r="H53" i="15"/>
  <c r="H55" i="15"/>
  <c r="H57" i="15"/>
  <c r="H61" i="15"/>
  <c r="H63" i="15"/>
  <c r="L53" i="15"/>
  <c r="L77" i="15"/>
  <c r="L79" i="15"/>
  <c r="L129" i="15"/>
  <c r="L159" i="15"/>
  <c r="H169" i="15"/>
  <c r="H171" i="15"/>
  <c r="H173" i="15"/>
  <c r="L178" i="15"/>
  <c r="L180" i="15"/>
  <c r="L51" i="15"/>
  <c r="L55" i="15"/>
  <c r="L57" i="15"/>
  <c r="L3" i="15"/>
  <c r="H13" i="15"/>
  <c r="H15" i="15"/>
  <c r="H17" i="15"/>
  <c r="L33" i="15"/>
  <c r="H43" i="15"/>
  <c r="H45" i="15"/>
  <c r="H47" i="15"/>
  <c r="H52" i="15"/>
  <c r="H54" i="15"/>
  <c r="H56" i="15"/>
  <c r="L68" i="15"/>
  <c r="L70" i="15"/>
  <c r="H76" i="15"/>
  <c r="H78" i="15"/>
  <c r="H85" i="15"/>
  <c r="H87" i="15"/>
  <c r="H89" i="15"/>
  <c r="L101" i="15"/>
  <c r="L105" i="15"/>
  <c r="L126" i="15"/>
  <c r="H130" i="15"/>
  <c r="L133" i="15"/>
  <c r="L137" i="15"/>
  <c r="L143" i="15"/>
  <c r="L150" i="15"/>
  <c r="H156" i="15"/>
  <c r="H4" i="15"/>
  <c r="H6" i="15"/>
  <c r="H8" i="15"/>
  <c r="L9" i="15"/>
  <c r="L11" i="15"/>
  <c r="H25" i="15"/>
  <c r="H36" i="15"/>
  <c r="H38" i="15"/>
  <c r="L52" i="15"/>
  <c r="L54" i="15"/>
  <c r="H60" i="15"/>
  <c r="H62" i="15"/>
  <c r="H69" i="15"/>
  <c r="H71" i="15"/>
  <c r="H73" i="15"/>
  <c r="L76" i="15"/>
  <c r="L78" i="15"/>
  <c r="H108" i="15"/>
  <c r="H110" i="15"/>
  <c r="H123" i="15"/>
  <c r="H125" i="15"/>
  <c r="H127" i="15"/>
  <c r="H140" i="15"/>
  <c r="H142" i="15"/>
  <c r="H151" i="15"/>
  <c r="H162" i="15"/>
  <c r="H164" i="15"/>
  <c r="H166" i="15"/>
  <c r="L181" i="15"/>
  <c r="L21" i="15"/>
  <c r="L91" i="15"/>
  <c r="L93" i="15"/>
  <c r="L95" i="15"/>
  <c r="L117" i="15"/>
  <c r="L121" i="15"/>
  <c r="H20" i="15"/>
  <c r="H22" i="15"/>
  <c r="L25" i="15"/>
  <c r="L27" i="15"/>
  <c r="L40" i="15"/>
  <c r="L49" i="15"/>
  <c r="L69" i="15"/>
  <c r="L73" i="15"/>
  <c r="H92" i="15"/>
  <c r="H94" i="15"/>
  <c r="H101" i="15"/>
  <c r="H103" i="15"/>
  <c r="H105" i="15"/>
  <c r="H116" i="15"/>
  <c r="H118" i="15"/>
  <c r="H120" i="15"/>
  <c r="H133" i="15"/>
  <c r="H135" i="15"/>
  <c r="H137" i="15"/>
  <c r="H148" i="15"/>
  <c r="L149" i="15"/>
  <c r="H159" i="15"/>
  <c r="L170" i="15"/>
  <c r="L174" i="15"/>
  <c r="U20" i="12"/>
  <c r="U31" i="12"/>
  <c r="U47" i="12"/>
  <c r="U68" i="12"/>
  <c r="U87" i="12"/>
  <c r="U12" i="12"/>
  <c r="U111" i="12"/>
  <c r="U36" i="12"/>
  <c r="U140" i="12"/>
  <c r="U148" i="12"/>
  <c r="U70" i="12"/>
  <c r="U127" i="12"/>
  <c r="U175" i="12"/>
  <c r="U46" i="12"/>
  <c r="U54" i="12"/>
  <c r="U110" i="12"/>
  <c r="U21" i="12"/>
  <c r="J20" i="12"/>
  <c r="K16" i="12"/>
  <c r="K33" i="12"/>
  <c r="U24" i="12"/>
  <c r="U64" i="12"/>
  <c r="U181" i="12"/>
  <c r="U165" i="12"/>
  <c r="U125" i="12"/>
  <c r="U85" i="12"/>
  <c r="U37" i="12"/>
  <c r="U29" i="12"/>
  <c r="J21" i="12"/>
  <c r="J28" i="12"/>
  <c r="K17" i="12"/>
  <c r="K25" i="12"/>
  <c r="U152" i="12"/>
  <c r="U9" i="12"/>
  <c r="U180" i="12"/>
  <c r="U132" i="12"/>
  <c r="U124" i="12"/>
  <c r="U116" i="12"/>
  <c r="U108" i="12"/>
  <c r="U100" i="12"/>
  <c r="L171" i="15"/>
  <c r="L176" i="15"/>
  <c r="L6" i="15"/>
  <c r="L14" i="15"/>
  <c r="L22" i="15"/>
  <c r="L158" i="15"/>
  <c r="L35" i="15"/>
  <c r="L43" i="15"/>
  <c r="L67" i="15"/>
  <c r="L75" i="15"/>
  <c r="L99" i="15"/>
  <c r="L107" i="15"/>
  <c r="L115" i="15"/>
  <c r="L123" i="15"/>
  <c r="L131" i="15"/>
  <c r="L139" i="15"/>
  <c r="L147" i="15"/>
  <c r="L155" i="15"/>
  <c r="L163" i="15"/>
  <c r="L168" i="15"/>
  <c r="U169" i="12"/>
  <c r="L16" i="15"/>
  <c r="L24" i="15"/>
  <c r="L32" i="15"/>
  <c r="L56" i="15"/>
  <c r="L64" i="15"/>
  <c r="L72" i="15"/>
  <c r="L80" i="15"/>
  <c r="L88" i="15"/>
  <c r="L96" i="15"/>
  <c r="L104" i="15"/>
  <c r="L112" i="15"/>
  <c r="L120" i="15"/>
  <c r="L128" i="15"/>
  <c r="L136" i="15"/>
  <c r="L144" i="15"/>
  <c r="L152" i="15"/>
  <c r="L160" i="15"/>
  <c r="L175" i="15"/>
  <c r="K14" i="12"/>
  <c r="L14" i="12" s="1"/>
  <c r="L15" i="12" s="1"/>
  <c r="L16" i="12" s="1"/>
  <c r="L17" i="12" s="1"/>
  <c r="L18" i="12" s="1"/>
  <c r="L19" i="12" s="1"/>
  <c r="L20" i="12" s="1"/>
  <c r="L21" i="12" s="1"/>
  <c r="L22" i="12" s="1"/>
  <c r="L23" i="12" s="1"/>
  <c r="L24" i="12" s="1"/>
  <c r="L25" i="12" s="1"/>
  <c r="L26" i="12" s="1"/>
  <c r="L27" i="12" s="1"/>
  <c r="L28" i="12" s="1"/>
  <c r="L29" i="12" s="1"/>
  <c r="L30" i="12" s="1"/>
  <c r="L31" i="12" s="1"/>
  <c r="L32" i="12" s="1"/>
  <c r="L33" i="12" s="1"/>
  <c r="K22" i="12"/>
  <c r="U143" i="12"/>
  <c r="L10" i="15"/>
  <c r="L18" i="15"/>
  <c r="L26" i="15"/>
  <c r="L34" i="15"/>
  <c r="L42" i="15"/>
  <c r="L50" i="15"/>
  <c r="L58" i="15"/>
  <c r="L66" i="15"/>
  <c r="L74" i="15"/>
  <c r="L82" i="15"/>
  <c r="L90" i="15"/>
  <c r="L98" i="15"/>
  <c r="L106" i="15"/>
  <c r="L114" i="15"/>
  <c r="L122" i="15"/>
  <c r="L130" i="15"/>
  <c r="L138" i="15"/>
  <c r="L146" i="15"/>
  <c r="L154" i="15"/>
  <c r="L162" i="15"/>
  <c r="L167" i="15"/>
  <c r="L172" i="15"/>
  <c r="J18" i="12"/>
  <c r="J26" i="12"/>
  <c r="K30" i="12"/>
  <c r="U48" i="12"/>
  <c r="U72" i="12"/>
  <c r="U159" i="12"/>
  <c r="J19" i="12"/>
  <c r="J27" i="12"/>
  <c r="K15" i="12"/>
  <c r="K23" i="12"/>
  <c r="U88" i="12"/>
  <c r="U128" i="12"/>
  <c r="U134" i="12"/>
  <c r="L7" i="15"/>
  <c r="L15" i="15"/>
  <c r="L23" i="15"/>
  <c r="L31" i="15"/>
  <c r="L39" i="15"/>
  <c r="L47" i="15"/>
  <c r="L71" i="15"/>
  <c r="L87" i="15"/>
  <c r="L103" i="15"/>
  <c r="L111" i="15"/>
  <c r="J29" i="12"/>
  <c r="U104" i="12"/>
  <c r="U10" i="12"/>
  <c r="U157" i="12"/>
  <c r="U133" i="12"/>
  <c r="U77" i="12"/>
  <c r="U61" i="12"/>
  <c r="L108" i="15"/>
  <c r="L116" i="15"/>
  <c r="L124" i="15"/>
  <c r="L132" i="15"/>
  <c r="L140" i="15"/>
  <c r="L148" i="15"/>
  <c r="L156" i="15"/>
  <c r="U179" i="12"/>
  <c r="U171" i="12"/>
  <c r="U163" i="12"/>
  <c r="U155" i="12"/>
  <c r="U147" i="12"/>
  <c r="U107" i="12"/>
  <c r="U99" i="12"/>
  <c r="U91" i="12"/>
  <c r="U83" i="12"/>
  <c r="U51" i="12"/>
  <c r="U43" i="12"/>
  <c r="U52" i="12"/>
  <c r="U173" i="12"/>
  <c r="U28" i="12"/>
  <c r="U60" i="12"/>
  <c r="U186" i="12" l="1"/>
  <c r="U185" i="12"/>
  <c r="E43" i="12" l="1"/>
  <c r="D43" i="12"/>
  <c r="C43" i="12"/>
  <c r="B43" i="12"/>
  <c r="E37" i="12"/>
  <c r="E44" i="12" s="1"/>
  <c r="D37" i="12"/>
  <c r="D44" i="12" s="1"/>
  <c r="C37" i="12"/>
  <c r="C44" i="12" s="1"/>
  <c r="B37" i="12"/>
  <c r="B44" i="12" s="1"/>
  <c r="E22" i="12"/>
  <c r="E17" i="12"/>
  <c r="F29" i="12" s="1"/>
  <c r="B17" i="12"/>
  <c r="L167" i="5" l="1"/>
  <c r="L168" i="5"/>
  <c r="L169" i="5"/>
  <c r="L170" i="5"/>
  <c r="L171" i="5"/>
  <c r="L172" i="5"/>
  <c r="L173" i="5"/>
  <c r="L174" i="5"/>
  <c r="L175" i="5"/>
  <c r="L176" i="5"/>
  <c r="L177" i="5"/>
  <c r="L178" i="5"/>
  <c r="L179" i="5"/>
  <c r="L180" i="5"/>
  <c r="L181" i="5"/>
  <c r="L182" i="5"/>
  <c r="L183" i="5"/>
  <c r="L160" i="5"/>
  <c r="L161" i="5"/>
  <c r="L162" i="5"/>
  <c r="L163" i="5"/>
  <c r="L164" i="5"/>
  <c r="L165" i="5"/>
  <c r="L166" i="5"/>
  <c r="L138" i="5"/>
  <c r="L139" i="5"/>
  <c r="L140" i="5"/>
  <c r="L141" i="5"/>
  <c r="L142" i="5"/>
  <c r="L143" i="5"/>
  <c r="L144" i="5"/>
  <c r="L145" i="5"/>
  <c r="L146" i="5"/>
  <c r="L147" i="5"/>
  <c r="L148" i="5"/>
  <c r="L149" i="5"/>
  <c r="L150" i="5"/>
  <c r="L151" i="5"/>
  <c r="L152" i="5"/>
  <c r="L153" i="5"/>
  <c r="L154" i="5"/>
  <c r="L155" i="5"/>
  <c r="L156" i="5"/>
  <c r="L157" i="5"/>
  <c r="L158" i="5"/>
  <c r="L159" i="5"/>
  <c r="L120" i="5"/>
  <c r="L121" i="5"/>
  <c r="L122" i="5"/>
  <c r="L123" i="5"/>
  <c r="L124" i="5"/>
  <c r="L125" i="5"/>
  <c r="L126" i="5"/>
  <c r="L127" i="5"/>
  <c r="L128" i="5"/>
  <c r="L129" i="5"/>
  <c r="L130" i="5"/>
  <c r="L131" i="5"/>
  <c r="L132" i="5"/>
  <c r="L133" i="5"/>
  <c r="L134" i="5"/>
  <c r="L135" i="5"/>
  <c r="L136" i="5"/>
  <c r="L137" i="5"/>
  <c r="L98" i="5"/>
  <c r="L99" i="5"/>
  <c r="L100" i="5"/>
  <c r="L101" i="5"/>
  <c r="L102" i="5"/>
  <c r="L103" i="5"/>
  <c r="L104" i="5"/>
  <c r="L105" i="5"/>
  <c r="L106" i="5"/>
  <c r="L107" i="5"/>
  <c r="L108" i="5"/>
  <c r="L109" i="5"/>
  <c r="L110" i="5"/>
  <c r="L111" i="5"/>
  <c r="L112" i="5"/>
  <c r="L113" i="5"/>
  <c r="L114" i="5"/>
  <c r="L115" i="5"/>
  <c r="L116" i="5"/>
  <c r="L117" i="5"/>
  <c r="L118" i="5"/>
  <c r="L119" i="5"/>
  <c r="L75" i="5"/>
  <c r="L76" i="5"/>
  <c r="L77" i="5"/>
  <c r="L78" i="5"/>
  <c r="L79" i="5"/>
  <c r="L80" i="5"/>
  <c r="L81" i="5"/>
  <c r="L82" i="5"/>
  <c r="L83" i="5"/>
  <c r="L84" i="5"/>
  <c r="L85" i="5"/>
  <c r="L86" i="5"/>
  <c r="L87" i="5"/>
  <c r="L88" i="5"/>
  <c r="L89" i="5"/>
  <c r="L90" i="5"/>
  <c r="L91" i="5"/>
  <c r="L92" i="5"/>
  <c r="L93" i="5"/>
  <c r="L94" i="5"/>
  <c r="L95" i="5"/>
  <c r="L96" i="5"/>
  <c r="L97" i="5"/>
  <c r="L53" i="5"/>
  <c r="L54" i="5"/>
  <c r="L55" i="5"/>
  <c r="L56" i="5"/>
  <c r="L57" i="5"/>
  <c r="L58" i="5"/>
  <c r="L59" i="5"/>
  <c r="L60" i="5"/>
  <c r="L61" i="5"/>
  <c r="L62" i="5"/>
  <c r="L63" i="5"/>
  <c r="L64" i="5"/>
  <c r="L65" i="5"/>
  <c r="L66" i="5"/>
  <c r="L67" i="5"/>
  <c r="L68" i="5"/>
  <c r="L69" i="5"/>
  <c r="L70" i="5"/>
  <c r="L71" i="5"/>
  <c r="L72" i="5"/>
  <c r="L73" i="5"/>
  <c r="L74" i="5"/>
  <c r="L34" i="5"/>
  <c r="L35" i="5"/>
  <c r="L36" i="5"/>
  <c r="L37" i="5"/>
  <c r="L38" i="5"/>
  <c r="L39" i="5"/>
  <c r="L40" i="5"/>
  <c r="L41" i="5"/>
  <c r="L42" i="5"/>
  <c r="L43" i="5"/>
  <c r="L44" i="5"/>
  <c r="L45" i="5"/>
  <c r="L46" i="5"/>
  <c r="L47" i="5"/>
  <c r="L48" i="5"/>
  <c r="L49" i="5"/>
  <c r="L50" i="5"/>
  <c r="L51" i="5"/>
  <c r="L52"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4" i="5"/>
  <c r="H5" i="5"/>
  <c r="H4" i="5"/>
  <c r="K184" i="5" l="1"/>
  <c r="B5" i="12" s="1"/>
  <c r="B15" i="12" l="1"/>
  <c r="B26" i="12"/>
  <c r="U29" i="5"/>
  <c r="N12" i="5"/>
  <c r="N4" i="5"/>
  <c r="N5" i="5"/>
  <c r="N175" i="5"/>
  <c r="N174" i="5"/>
  <c r="N179" i="5"/>
  <c r="N183" i="5"/>
  <c r="N182" i="5"/>
  <c r="N181" i="5"/>
  <c r="N180" i="5"/>
  <c r="N178" i="5"/>
  <c r="N177" i="5"/>
  <c r="N176"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7" i="5"/>
  <c r="N146"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8" i="5"/>
  <c r="N117" i="5"/>
  <c r="N116" i="5"/>
  <c r="N115" i="5"/>
  <c r="N114" i="5"/>
  <c r="N113" i="5"/>
  <c r="N112" i="5"/>
  <c r="N111" i="5"/>
  <c r="N110" i="5"/>
  <c r="N109" i="5"/>
  <c r="N108" i="5"/>
  <c r="N107" i="5"/>
  <c r="N106" i="5"/>
  <c r="N105" i="5"/>
  <c r="N104" i="5"/>
  <c r="N103" i="5"/>
  <c r="N102" i="5"/>
  <c r="N101" i="5"/>
  <c r="N100" i="5"/>
  <c r="N99" i="5"/>
  <c r="N98" i="5"/>
  <c r="N97" i="5"/>
  <c r="N96" i="5"/>
  <c r="N95" i="5"/>
  <c r="N94" i="5"/>
  <c r="N93"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1" i="5"/>
  <c r="N10" i="5"/>
  <c r="N9" i="5"/>
  <c r="N8" i="5"/>
  <c r="N7" i="5"/>
  <c r="N6" i="5"/>
  <c r="N92" i="5"/>
  <c r="M183" i="5"/>
  <c r="O183" i="5" s="1"/>
  <c r="M182" i="5"/>
  <c r="O182" i="5" s="1"/>
  <c r="M181" i="5"/>
  <c r="O181" i="5" s="1"/>
  <c r="M180" i="5"/>
  <c r="O180" i="5" s="1"/>
  <c r="M179" i="5"/>
  <c r="O179" i="5" s="1"/>
  <c r="M178" i="5"/>
  <c r="O178" i="5" s="1"/>
  <c r="M177" i="5"/>
  <c r="O177" i="5" s="1"/>
  <c r="M176" i="5"/>
  <c r="O176" i="5" s="1"/>
  <c r="M175" i="5"/>
  <c r="O175" i="5" s="1"/>
  <c r="M174" i="5"/>
  <c r="O174" i="5" s="1"/>
  <c r="M173" i="5"/>
  <c r="O173" i="5" s="1"/>
  <c r="M172" i="5"/>
  <c r="O172" i="5" s="1"/>
  <c r="M171" i="5"/>
  <c r="O171" i="5" s="1"/>
  <c r="M170" i="5"/>
  <c r="O170" i="5" s="1"/>
  <c r="M169" i="5"/>
  <c r="O169" i="5" s="1"/>
  <c r="M168" i="5"/>
  <c r="O168" i="5" s="1"/>
  <c r="M167" i="5"/>
  <c r="O167" i="5" s="1"/>
  <c r="M166" i="5"/>
  <c r="O166" i="5" s="1"/>
  <c r="M165" i="5"/>
  <c r="O165" i="5" s="1"/>
  <c r="M164" i="5"/>
  <c r="O164" i="5" s="1"/>
  <c r="M163" i="5"/>
  <c r="O163" i="5" s="1"/>
  <c r="M162" i="5"/>
  <c r="O162" i="5" s="1"/>
  <c r="M161" i="5"/>
  <c r="O161" i="5" s="1"/>
  <c r="M160" i="5"/>
  <c r="O160" i="5" s="1"/>
  <c r="M159" i="5"/>
  <c r="O159" i="5" s="1"/>
  <c r="M158" i="5"/>
  <c r="O158" i="5" s="1"/>
  <c r="M157" i="5"/>
  <c r="O157" i="5" s="1"/>
  <c r="M156" i="5"/>
  <c r="O156" i="5" s="1"/>
  <c r="M155" i="5"/>
  <c r="O155" i="5" s="1"/>
  <c r="M154" i="5"/>
  <c r="O154" i="5" s="1"/>
  <c r="M153" i="5"/>
  <c r="O153" i="5" s="1"/>
  <c r="M152" i="5"/>
  <c r="O152" i="5" s="1"/>
  <c r="M151" i="5"/>
  <c r="O151" i="5" s="1"/>
  <c r="M150" i="5"/>
  <c r="O150" i="5" s="1"/>
  <c r="M149" i="5"/>
  <c r="O149" i="5" s="1"/>
  <c r="M148" i="5"/>
  <c r="O148" i="5" s="1"/>
  <c r="M147" i="5"/>
  <c r="O147" i="5" s="1"/>
  <c r="M146" i="5"/>
  <c r="O146" i="5" s="1"/>
  <c r="M145" i="5"/>
  <c r="O145" i="5" s="1"/>
  <c r="M144" i="5"/>
  <c r="O144" i="5" s="1"/>
  <c r="M143" i="5"/>
  <c r="O143" i="5" s="1"/>
  <c r="M142" i="5"/>
  <c r="O142" i="5" s="1"/>
  <c r="M141" i="5"/>
  <c r="O141" i="5" s="1"/>
  <c r="M140" i="5"/>
  <c r="O140" i="5" s="1"/>
  <c r="M139" i="5"/>
  <c r="O139" i="5" s="1"/>
  <c r="M138" i="5"/>
  <c r="O138" i="5" s="1"/>
  <c r="M137" i="5"/>
  <c r="O137" i="5" s="1"/>
  <c r="M136" i="5"/>
  <c r="O136" i="5" s="1"/>
  <c r="M135" i="5"/>
  <c r="O135" i="5" s="1"/>
  <c r="M134" i="5"/>
  <c r="O134" i="5" s="1"/>
  <c r="M133" i="5"/>
  <c r="O133" i="5" s="1"/>
  <c r="M132" i="5"/>
  <c r="O132" i="5" s="1"/>
  <c r="M131" i="5"/>
  <c r="O131" i="5" s="1"/>
  <c r="M130" i="5"/>
  <c r="O130" i="5" s="1"/>
  <c r="M129" i="5"/>
  <c r="O129" i="5" s="1"/>
  <c r="M128" i="5"/>
  <c r="O128" i="5" s="1"/>
  <c r="M127" i="5"/>
  <c r="O127" i="5" s="1"/>
  <c r="M126" i="5"/>
  <c r="O126" i="5" s="1"/>
  <c r="M125" i="5"/>
  <c r="O125" i="5" s="1"/>
  <c r="M124" i="5"/>
  <c r="O124" i="5" s="1"/>
  <c r="M123" i="5"/>
  <c r="O123" i="5" s="1"/>
  <c r="M122" i="5"/>
  <c r="O122" i="5" s="1"/>
  <c r="M121" i="5"/>
  <c r="O121" i="5" s="1"/>
  <c r="M120" i="5"/>
  <c r="O120" i="5" s="1"/>
  <c r="M119" i="5"/>
  <c r="O119" i="5" s="1"/>
  <c r="M118" i="5"/>
  <c r="O118" i="5" s="1"/>
  <c r="M117" i="5"/>
  <c r="O117" i="5" s="1"/>
  <c r="M116" i="5"/>
  <c r="O116" i="5" s="1"/>
  <c r="M115" i="5"/>
  <c r="O115" i="5" s="1"/>
  <c r="M114" i="5"/>
  <c r="O114" i="5" s="1"/>
  <c r="M113" i="5"/>
  <c r="O113" i="5" s="1"/>
  <c r="M112" i="5"/>
  <c r="O112" i="5" s="1"/>
  <c r="M111" i="5"/>
  <c r="O111" i="5" s="1"/>
  <c r="M110" i="5"/>
  <c r="O110" i="5" s="1"/>
  <c r="M109" i="5"/>
  <c r="O109" i="5" s="1"/>
  <c r="M108" i="5"/>
  <c r="O108" i="5" s="1"/>
  <c r="M107" i="5"/>
  <c r="O107" i="5" s="1"/>
  <c r="M106" i="5"/>
  <c r="O106" i="5" s="1"/>
  <c r="M105" i="5"/>
  <c r="O105" i="5" s="1"/>
  <c r="M104" i="5"/>
  <c r="O104" i="5" s="1"/>
  <c r="M103" i="5"/>
  <c r="O103" i="5" s="1"/>
  <c r="M102" i="5"/>
  <c r="O102" i="5" s="1"/>
  <c r="M101" i="5"/>
  <c r="O101" i="5" s="1"/>
  <c r="M100" i="5"/>
  <c r="O100" i="5" s="1"/>
  <c r="M99" i="5"/>
  <c r="O99" i="5" s="1"/>
  <c r="M98" i="5"/>
  <c r="O98" i="5" s="1"/>
  <c r="M97" i="5"/>
  <c r="O97" i="5" s="1"/>
  <c r="M96" i="5"/>
  <c r="O96" i="5" s="1"/>
  <c r="M95" i="5"/>
  <c r="O95" i="5" s="1"/>
  <c r="M94" i="5"/>
  <c r="O94" i="5" s="1"/>
  <c r="M93" i="5"/>
  <c r="O93" i="5" s="1"/>
  <c r="M92" i="5"/>
  <c r="O92" i="5" s="1"/>
  <c r="M91" i="5"/>
  <c r="O91" i="5" s="1"/>
  <c r="M90" i="5"/>
  <c r="O90" i="5" s="1"/>
  <c r="M89" i="5"/>
  <c r="O89" i="5" s="1"/>
  <c r="M88" i="5"/>
  <c r="O88" i="5" s="1"/>
  <c r="M87" i="5"/>
  <c r="O87" i="5" s="1"/>
  <c r="M86" i="5"/>
  <c r="O86" i="5" s="1"/>
  <c r="M85" i="5"/>
  <c r="O85" i="5" s="1"/>
  <c r="M84" i="5"/>
  <c r="O84" i="5" s="1"/>
  <c r="M83" i="5"/>
  <c r="O83" i="5" s="1"/>
  <c r="M82" i="5"/>
  <c r="O82" i="5" s="1"/>
  <c r="M81" i="5"/>
  <c r="O81" i="5" s="1"/>
  <c r="M80" i="5"/>
  <c r="O80" i="5" s="1"/>
  <c r="M79" i="5"/>
  <c r="O79" i="5" s="1"/>
  <c r="M78" i="5"/>
  <c r="O78" i="5" s="1"/>
  <c r="M77" i="5"/>
  <c r="O77" i="5" s="1"/>
  <c r="M76" i="5"/>
  <c r="O76" i="5" s="1"/>
  <c r="M75" i="5"/>
  <c r="O75" i="5" s="1"/>
  <c r="M74" i="5"/>
  <c r="O74" i="5" s="1"/>
  <c r="M73" i="5"/>
  <c r="O73" i="5" s="1"/>
  <c r="M72" i="5"/>
  <c r="O72" i="5" s="1"/>
  <c r="M71" i="5"/>
  <c r="O71" i="5" s="1"/>
  <c r="M70" i="5"/>
  <c r="O70" i="5" s="1"/>
  <c r="M69" i="5"/>
  <c r="O69" i="5" s="1"/>
  <c r="M68" i="5"/>
  <c r="O68" i="5" s="1"/>
  <c r="M67" i="5"/>
  <c r="O67" i="5" s="1"/>
  <c r="M66" i="5"/>
  <c r="O66" i="5" s="1"/>
  <c r="M65" i="5"/>
  <c r="O65" i="5" s="1"/>
  <c r="M64" i="5"/>
  <c r="O64" i="5" s="1"/>
  <c r="M63" i="5"/>
  <c r="O63" i="5" s="1"/>
  <c r="M62" i="5"/>
  <c r="O62" i="5" s="1"/>
  <c r="M61" i="5"/>
  <c r="O61" i="5" s="1"/>
  <c r="M60" i="5"/>
  <c r="O60" i="5" s="1"/>
  <c r="M59" i="5"/>
  <c r="O59" i="5" s="1"/>
  <c r="M58" i="5"/>
  <c r="O58" i="5" s="1"/>
  <c r="M57" i="5"/>
  <c r="O57" i="5" s="1"/>
  <c r="M56" i="5"/>
  <c r="O56" i="5" s="1"/>
  <c r="M55" i="5"/>
  <c r="O55" i="5" s="1"/>
  <c r="M54" i="5"/>
  <c r="O54" i="5" s="1"/>
  <c r="M53" i="5"/>
  <c r="O53" i="5" s="1"/>
  <c r="M52" i="5"/>
  <c r="O52" i="5" s="1"/>
  <c r="M51" i="5"/>
  <c r="O51" i="5" s="1"/>
  <c r="M50" i="5"/>
  <c r="O50" i="5" s="1"/>
  <c r="M49" i="5"/>
  <c r="O49" i="5" s="1"/>
  <c r="M48" i="5"/>
  <c r="O48" i="5" s="1"/>
  <c r="M47" i="5"/>
  <c r="O47" i="5" s="1"/>
  <c r="M46" i="5"/>
  <c r="O46" i="5" s="1"/>
  <c r="M45" i="5"/>
  <c r="O45" i="5" s="1"/>
  <c r="M44" i="5"/>
  <c r="O44" i="5" s="1"/>
  <c r="M43" i="5"/>
  <c r="O43" i="5" s="1"/>
  <c r="M42" i="5"/>
  <c r="O42" i="5" s="1"/>
  <c r="M41" i="5"/>
  <c r="O41" i="5" s="1"/>
  <c r="M40" i="5"/>
  <c r="O40" i="5" s="1"/>
  <c r="M39" i="5"/>
  <c r="O39" i="5" s="1"/>
  <c r="M38" i="5"/>
  <c r="O38" i="5" s="1"/>
  <c r="M37" i="5"/>
  <c r="O37" i="5" s="1"/>
  <c r="M36" i="5"/>
  <c r="O36" i="5" s="1"/>
  <c r="M35" i="5"/>
  <c r="O35" i="5" s="1"/>
  <c r="M34" i="5"/>
  <c r="O34" i="5" s="1"/>
  <c r="M33" i="5"/>
  <c r="O33" i="5" s="1"/>
  <c r="M32" i="5"/>
  <c r="O32" i="5" s="1"/>
  <c r="M31" i="5"/>
  <c r="O31" i="5" s="1"/>
  <c r="M30" i="5"/>
  <c r="O30" i="5" s="1"/>
  <c r="M29" i="5"/>
  <c r="O29" i="5" s="1"/>
  <c r="M28" i="5"/>
  <c r="O28" i="5" s="1"/>
  <c r="M27" i="5"/>
  <c r="O27" i="5" s="1"/>
  <c r="M26" i="5"/>
  <c r="O26" i="5" s="1"/>
  <c r="M25" i="5"/>
  <c r="O25" i="5" s="1"/>
  <c r="M24" i="5"/>
  <c r="O24" i="5" s="1"/>
  <c r="M23" i="5"/>
  <c r="O23" i="5" s="1"/>
  <c r="M22" i="5"/>
  <c r="O22" i="5" s="1"/>
  <c r="M21" i="5"/>
  <c r="O21" i="5" s="1"/>
  <c r="M20" i="5"/>
  <c r="O20" i="5" s="1"/>
  <c r="M10" i="5"/>
  <c r="O10" i="5" s="1"/>
  <c r="M11" i="5"/>
  <c r="O11" i="5" s="1"/>
  <c r="M12" i="5"/>
  <c r="O12" i="5" s="1"/>
  <c r="M13" i="5"/>
  <c r="O13" i="5" s="1"/>
  <c r="M14" i="5"/>
  <c r="O14" i="5" s="1"/>
  <c r="M15" i="5"/>
  <c r="O15" i="5" s="1"/>
  <c r="M16" i="5"/>
  <c r="O16" i="5" s="1"/>
  <c r="M17" i="5"/>
  <c r="O17" i="5" s="1"/>
  <c r="M18" i="5"/>
  <c r="O18" i="5" s="1"/>
  <c r="M19" i="5"/>
  <c r="O19" i="5" s="1"/>
  <c r="M8" i="5"/>
  <c r="O8" i="5" s="1"/>
  <c r="M9" i="5"/>
  <c r="O9" i="5" s="1"/>
  <c r="M7" i="5"/>
  <c r="O7" i="5" s="1"/>
  <c r="M6" i="5"/>
  <c r="O6" i="5" s="1"/>
  <c r="M5" i="5"/>
  <c r="O5" i="5" s="1"/>
  <c r="M4" i="5"/>
  <c r="O4" i="5" s="1"/>
  <c r="J183" i="5"/>
  <c r="J182" i="5"/>
  <c r="J181" i="5"/>
  <c r="J180" i="5"/>
  <c r="J179" i="5"/>
  <c r="J178" i="5"/>
  <c r="J177" i="5"/>
  <c r="J176" i="5"/>
  <c r="J175" i="5"/>
  <c r="J174" i="5"/>
  <c r="J173" i="5"/>
  <c r="J172" i="5"/>
  <c r="J171" i="5"/>
  <c r="J170" i="5"/>
  <c r="J169" i="5"/>
  <c r="J168" i="5"/>
  <c r="J167" i="5"/>
  <c r="J166" i="5"/>
  <c r="J165" i="5"/>
  <c r="J164" i="5"/>
  <c r="J161" i="5"/>
  <c r="J160" i="5"/>
  <c r="J159" i="5"/>
  <c r="J158" i="5"/>
  <c r="J157" i="5"/>
  <c r="J156" i="5"/>
  <c r="J155"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3" i="5"/>
  <c r="J74" i="5"/>
  <c r="J71" i="5"/>
  <c r="J72" i="5"/>
  <c r="J69" i="5"/>
  <c r="J70"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68" i="5"/>
  <c r="J108" i="5"/>
  <c r="J109" i="5"/>
  <c r="J152" i="5"/>
  <c r="J153" i="5"/>
  <c r="J154" i="5"/>
  <c r="J162" i="5"/>
  <c r="J163" i="5"/>
  <c r="J34" i="5"/>
  <c r="J33" i="5"/>
  <c r="J32" i="5"/>
  <c r="J31" i="5"/>
  <c r="J30" i="5"/>
  <c r="J29" i="5"/>
  <c r="J28" i="5"/>
  <c r="J27" i="5"/>
  <c r="J26" i="5"/>
  <c r="J25" i="5"/>
  <c r="J24" i="5"/>
  <c r="J23" i="5"/>
  <c r="J20" i="5"/>
  <c r="J21" i="5"/>
  <c r="J22" i="5"/>
  <c r="J19" i="5"/>
  <c r="J15" i="5"/>
  <c r="J16" i="5"/>
  <c r="J18" i="5"/>
  <c r="J17" i="5"/>
  <c r="J13" i="5"/>
  <c r="J14" i="5"/>
  <c r="J12" i="5"/>
  <c r="J11" i="5"/>
  <c r="J8" i="5"/>
  <c r="J9" i="5"/>
  <c r="J10" i="5"/>
  <c r="J7" i="5"/>
  <c r="J5" i="5"/>
  <c r="J6" i="5"/>
  <c r="J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6" i="5"/>
  <c r="H147" i="5"/>
  <c r="H148" i="5"/>
  <c r="H149" i="5"/>
  <c r="H145" i="5"/>
  <c r="H142" i="5"/>
  <c r="H141" i="5"/>
  <c r="H138" i="5"/>
  <c r="H139" i="5"/>
  <c r="H140" i="5"/>
  <c r="H137" i="5"/>
  <c r="H136" i="5"/>
  <c r="H135" i="5"/>
  <c r="H134" i="5"/>
  <c r="H133" i="5"/>
  <c r="H132"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131" i="5"/>
  <c r="H143" i="5"/>
  <c r="H144" i="5"/>
  <c r="H88" i="5"/>
  <c r="H87" i="5"/>
  <c r="H86" i="5"/>
  <c r="H85" i="5"/>
  <c r="H77" i="5"/>
  <c r="H78" i="5"/>
  <c r="H79" i="5"/>
  <c r="H80" i="5"/>
  <c r="H81" i="5"/>
  <c r="H82" i="5"/>
  <c r="H83" i="5"/>
  <c r="H84" i="5"/>
  <c r="H76" i="5"/>
  <c r="H69" i="5"/>
  <c r="H70" i="5"/>
  <c r="H71" i="5"/>
  <c r="H72" i="5"/>
  <c r="H68" i="5"/>
  <c r="H67" i="5"/>
  <c r="H60" i="5"/>
  <c r="H61" i="5"/>
  <c r="H62" i="5"/>
  <c r="H63" i="5"/>
  <c r="H59" i="5"/>
  <c r="H58" i="5"/>
  <c r="H57" i="5"/>
  <c r="H56" i="5"/>
  <c r="H55" i="5"/>
  <c r="H64" i="5"/>
  <c r="H65" i="5"/>
  <c r="H66" i="5"/>
  <c r="H73" i="5"/>
  <c r="H74" i="5"/>
  <c r="H75" i="5"/>
  <c r="H49" i="5"/>
  <c r="H50" i="5"/>
  <c r="H51" i="5"/>
  <c r="H52" i="5"/>
  <c r="H53" i="5"/>
  <c r="H54" i="5"/>
  <c r="H48" i="5"/>
  <c r="H47" i="5"/>
  <c r="H46" i="5"/>
  <c r="H37" i="5"/>
  <c r="H38" i="5"/>
  <c r="H39" i="5"/>
  <c r="H40" i="5"/>
  <c r="H41" i="5"/>
  <c r="H42" i="5"/>
  <c r="H43" i="5"/>
  <c r="H44" i="5"/>
  <c r="H45" i="5"/>
  <c r="H36" i="5"/>
  <c r="H33" i="5"/>
  <c r="H34" i="5"/>
  <c r="H35" i="5"/>
  <c r="H32" i="5"/>
  <c r="H17" i="5"/>
  <c r="H18" i="5"/>
  <c r="H19" i="5"/>
  <c r="H20" i="5"/>
  <c r="H21" i="5"/>
  <c r="H22" i="5"/>
  <c r="H23" i="5"/>
  <c r="H24" i="5"/>
  <c r="H16" i="5"/>
  <c r="H14" i="5"/>
  <c r="H15" i="5"/>
  <c r="H25" i="5"/>
  <c r="H26" i="5"/>
  <c r="H27" i="5"/>
  <c r="H28" i="5"/>
  <c r="H29" i="5"/>
  <c r="H30" i="5"/>
  <c r="H31" i="5"/>
  <c r="H13" i="5"/>
  <c r="H12" i="5"/>
  <c r="H11" i="5"/>
  <c r="H10" i="5"/>
  <c r="H9" i="5"/>
  <c r="H8" i="5"/>
  <c r="H6" i="5"/>
  <c r="B5" i="14" s="1"/>
  <c r="H7" i="5"/>
  <c r="K185" i="1"/>
  <c r="B3" i="14" l="1"/>
  <c r="U28" i="5"/>
  <c r="B4" i="14"/>
  <c r="B2" i="14"/>
  <c r="V28" i="5"/>
  <c r="V29" i="5"/>
  <c r="U27" i="5"/>
  <c r="V27" i="5"/>
  <c r="U26" i="5"/>
  <c r="V26" i="5"/>
  <c r="O185" i="5"/>
  <c r="B6" i="12" s="1"/>
  <c r="O184" i="5"/>
  <c r="B8" i="12" l="1"/>
  <c r="B16" i="12"/>
  <c r="B9" i="12" l="1"/>
  <c r="B19" i="12" s="1"/>
  <c r="B29" i="12" s="1"/>
  <c r="B1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M4" authorId="0" shapeId="0" xr:uid="{0FC4B59F-843C-AC41-A47F-4D04AF8C3340}">
      <text>
        <r>
          <rPr>
            <b/>
            <sz val="10"/>
            <color rgb="FF000000"/>
            <rFont val="Tahoma"/>
            <family val="2"/>
          </rPr>
          <t>Microsoft Office User:</t>
        </r>
        <r>
          <rPr>
            <sz val="10"/>
            <color rgb="FF000000"/>
            <rFont val="Tahoma"/>
            <family val="2"/>
          </rPr>
          <t xml:space="preserve">
</t>
        </r>
        <r>
          <rPr>
            <sz val="10"/>
            <color rgb="FF000000"/>
            <rFont val="Tahoma"/>
            <family val="2"/>
          </rPr>
          <t xml:space="preserve">Jika quantity lebih dari 8 pcs maka 3% </t>
        </r>
      </text>
    </comment>
  </commentList>
</comments>
</file>

<file path=xl/sharedStrings.xml><?xml version="1.0" encoding="utf-8"?>
<sst xmlns="http://schemas.openxmlformats.org/spreadsheetml/2006/main" count="3955" uniqueCount="384">
  <si>
    <t>Supermarket Family Database 2023</t>
  </si>
  <si>
    <t>Input Date</t>
  </si>
  <si>
    <t>Customer Name</t>
  </si>
  <si>
    <t>Gender</t>
  </si>
  <si>
    <t>Domicile</t>
  </si>
  <si>
    <t>Member Code</t>
  </si>
  <si>
    <t>Product ID</t>
  </si>
  <si>
    <t>Category</t>
  </si>
  <si>
    <t>Name of Product</t>
  </si>
  <si>
    <t>Barcode</t>
  </si>
  <si>
    <t xml:space="preserve">Quantity </t>
  </si>
  <si>
    <t>Price item</t>
  </si>
  <si>
    <t>Tax</t>
  </si>
  <si>
    <t>Member Point</t>
  </si>
  <si>
    <t>Total Payment</t>
  </si>
  <si>
    <t>Sean Laura Edelyn</t>
  </si>
  <si>
    <t>F</t>
  </si>
  <si>
    <t>Jakarta</t>
  </si>
  <si>
    <t>P1114</t>
  </si>
  <si>
    <t>PB103</t>
  </si>
  <si>
    <t>Cake &amp; bread</t>
  </si>
  <si>
    <t xml:space="preserve">Jennifer Savira </t>
  </si>
  <si>
    <t>Bogor</t>
  </si>
  <si>
    <t>P1214</t>
  </si>
  <si>
    <t>PB101</t>
  </si>
  <si>
    <t>Chilled &amp; frozen product</t>
  </si>
  <si>
    <t>Raissa Zeviw</t>
  </si>
  <si>
    <t>Bandung</t>
  </si>
  <si>
    <t>P1414</t>
  </si>
  <si>
    <t>Nadia Sarah Jayadi</t>
  </si>
  <si>
    <t>G1111</t>
  </si>
  <si>
    <t>PB102</t>
  </si>
  <si>
    <t>Eggs</t>
  </si>
  <si>
    <t>Michael Harvey Tan</t>
  </si>
  <si>
    <t>M</t>
  </si>
  <si>
    <t>G1412</t>
  </si>
  <si>
    <t>NF104</t>
  </si>
  <si>
    <t>Baby need</t>
  </si>
  <si>
    <t>Andreas Wijaya Lukita</t>
  </si>
  <si>
    <t>G1411</t>
  </si>
  <si>
    <t>NF101</t>
  </si>
  <si>
    <t>Personal care</t>
  </si>
  <si>
    <t>Widya Michael Sofiany</t>
  </si>
  <si>
    <t>G1413</t>
  </si>
  <si>
    <t>Selena Swift Widodo</t>
  </si>
  <si>
    <t>S1113</t>
  </si>
  <si>
    <t>NF102</t>
  </si>
  <si>
    <t>Putri Selena Utama</t>
  </si>
  <si>
    <t>Tangerang</t>
  </si>
  <si>
    <t>S1111</t>
  </si>
  <si>
    <t>Harry Anderson</t>
  </si>
  <si>
    <t>S1314</t>
  </si>
  <si>
    <t>FP101</t>
  </si>
  <si>
    <t>Instant Noodle &amp; Food</t>
  </si>
  <si>
    <t>Jimmy Michael Peter</t>
  </si>
  <si>
    <t>S1611</t>
  </si>
  <si>
    <t>FP102</t>
  </si>
  <si>
    <t>Sammy Hutagalung</t>
  </si>
  <si>
    <t>S1512</t>
  </si>
  <si>
    <t>FP104</t>
  </si>
  <si>
    <t>Andin Dini Kusuma</t>
  </si>
  <si>
    <t>GM104</t>
  </si>
  <si>
    <t>Apparel, towel and underwear</t>
  </si>
  <si>
    <t>Metha Viviane</t>
  </si>
  <si>
    <t>Battery, film, electrical &amp; lamp</t>
  </si>
  <si>
    <t>Justin Alfredo</t>
  </si>
  <si>
    <t>G1312</t>
  </si>
  <si>
    <t>GM103</t>
  </si>
  <si>
    <t xml:space="preserve">Nicholas Agustino </t>
  </si>
  <si>
    <t>G1313</t>
  </si>
  <si>
    <t>Chalvin Peterman</t>
  </si>
  <si>
    <t>G1311</t>
  </si>
  <si>
    <t>Housewares &amp; party need</t>
  </si>
  <si>
    <t>Felicia Widyotama</t>
  </si>
  <si>
    <t>P1115</t>
  </si>
  <si>
    <t>Michael Anderson</t>
  </si>
  <si>
    <t>P1415</t>
  </si>
  <si>
    <t>GM102</t>
  </si>
  <si>
    <t>Offce supplier &amp; stationery</t>
  </si>
  <si>
    <t>Agustino Cristianaldo</t>
  </si>
  <si>
    <t>GM101</t>
  </si>
  <si>
    <t>Aldo Alex Kusuma</t>
  </si>
  <si>
    <t>G1115</t>
  </si>
  <si>
    <t>Comb, accessories &amp; footwear</t>
  </si>
  <si>
    <t>Idris Jamaluddin</t>
  </si>
  <si>
    <t>Diet &amp; Diabeter foods</t>
  </si>
  <si>
    <t>Irfan Haikal Fikri</t>
  </si>
  <si>
    <t>G1415</t>
  </si>
  <si>
    <t>FP103</t>
  </si>
  <si>
    <t>Honey, jam, cereal and cheese</t>
  </si>
  <si>
    <t>Hamdani Ainun Kosasih</t>
  </si>
  <si>
    <t>G1612</t>
  </si>
  <si>
    <t>Snack, biscuit &amp; ready to eat</t>
  </si>
  <si>
    <t>Haris Luthfi Yahya</t>
  </si>
  <si>
    <t>G1212</t>
  </si>
  <si>
    <t>Abimanyu Abbas Hardim</t>
  </si>
  <si>
    <t>G1213</t>
  </si>
  <si>
    <t>Sri Ratih Indah</t>
  </si>
  <si>
    <t>G1215</t>
  </si>
  <si>
    <t>Medicine</t>
  </si>
  <si>
    <t>Adeline Diany Putri</t>
  </si>
  <si>
    <t>Cigarette &amp; lighter</t>
  </si>
  <si>
    <t>Lady Marcia Anne</t>
  </si>
  <si>
    <t>NF103</t>
  </si>
  <si>
    <t>House hold</t>
  </si>
  <si>
    <t>Retno Tika Utami</t>
  </si>
  <si>
    <t>Paper goods</t>
  </si>
  <si>
    <t>Marcella Beverly Park Eun</t>
  </si>
  <si>
    <t>Lestari Suci Endang Kusuma</t>
  </si>
  <si>
    <t>Meghan Catrine Witney</t>
  </si>
  <si>
    <t>PB104</t>
  </si>
  <si>
    <t xml:space="preserve">Snack &amp; Candy </t>
  </si>
  <si>
    <t>Marieh Houston Stevenly</t>
  </si>
  <si>
    <t>James Leonard</t>
  </si>
  <si>
    <t>Ben Bastian Budi</t>
  </si>
  <si>
    <t>Fruit</t>
  </si>
  <si>
    <t>Bayu Muhammad Rinaldy</t>
  </si>
  <si>
    <t>Rivaldo Dimas Bagus</t>
  </si>
  <si>
    <t>Chika Amelia Putri</t>
  </si>
  <si>
    <t>Nadya Amelia Dewi Kusuma</t>
  </si>
  <si>
    <t>Raissa Februariana</t>
  </si>
  <si>
    <t xml:space="preserve">Annisa Fajar Utama </t>
  </si>
  <si>
    <t>Hadi Kusumaningrum</t>
  </si>
  <si>
    <t>Wulandari Septiansyah</t>
  </si>
  <si>
    <t>Esmeralda Tika Kusuma</t>
  </si>
  <si>
    <t>Baby milk &amp; food</t>
  </si>
  <si>
    <t>Tristan Toni Tobing</t>
  </si>
  <si>
    <t>Confectionary, candy &amp; chocolate</t>
  </si>
  <si>
    <t>Salsa Hasanuddin Kusomo</t>
  </si>
  <si>
    <t>Samuel Andreas Michael</t>
  </si>
  <si>
    <t>G1113</t>
  </si>
  <si>
    <t>Canned Food &amp; dried meat</t>
  </si>
  <si>
    <t>Paul Scott Anderson</t>
  </si>
  <si>
    <t>Spices, soya, sauce and ingredient</t>
  </si>
  <si>
    <t>Vinny Cynthia Lpusina</t>
  </si>
  <si>
    <t>Philip Edward Martin</t>
  </si>
  <si>
    <t>Sari Siregar Verianty</t>
  </si>
  <si>
    <t>Oral hygiene</t>
  </si>
  <si>
    <t>Vanessa Elmatiana Putri</t>
  </si>
  <si>
    <t>George David Suhendy</t>
  </si>
  <si>
    <t>Emanuella Julia Bebena</t>
  </si>
  <si>
    <t>Shanti Natalia April</t>
  </si>
  <si>
    <t>Sandra Putri Marselyna</t>
  </si>
  <si>
    <t>Abdul Salim Goddard</t>
  </si>
  <si>
    <t>Elma Mawar Lalita</t>
  </si>
  <si>
    <t>Vidy Verania Yusman</t>
  </si>
  <si>
    <t>Wishu Agus Ryan</t>
  </si>
  <si>
    <t>Cake mix</t>
  </si>
  <si>
    <t>Samimora Aurora Putri</t>
  </si>
  <si>
    <t>Isabella Christina Sihombing</t>
  </si>
  <si>
    <t>Johanes Matius Benardy</t>
  </si>
  <si>
    <t>Maria Angel Shandi</t>
  </si>
  <si>
    <t>Pieters Mike Colbie</t>
  </si>
  <si>
    <t>Emily Olivia Eva</t>
  </si>
  <si>
    <t>Sophina Stevanie Lily</t>
  </si>
  <si>
    <t>Oiiver Jackson Issander</t>
  </si>
  <si>
    <t>Joshua Muhammad Noah</t>
  </si>
  <si>
    <t>Charles Jacob William</t>
  </si>
  <si>
    <t>Lily Peony Isabella</t>
  </si>
  <si>
    <t>Milk</t>
  </si>
  <si>
    <t>Marry Christine Chloe</t>
  </si>
  <si>
    <t>Rossa Setiana Dewi</t>
  </si>
  <si>
    <t>Ellea Lyra Tia</t>
  </si>
  <si>
    <t>Robbinson Ignatius Gary</t>
  </si>
  <si>
    <t>Greek Philip Yordan</t>
  </si>
  <si>
    <t>Sofia Belvaria Sirajuddin</t>
  </si>
  <si>
    <t>Christiana Lady Diana</t>
  </si>
  <si>
    <t>Elisabeth Christy Dian</t>
  </si>
  <si>
    <t>Aaron Carlos</t>
  </si>
  <si>
    <t>Diandra Citranti Deva</t>
  </si>
  <si>
    <t>Edison Edelard Ronaldus</t>
  </si>
  <si>
    <t>Clarabella Marcia Maisieany</t>
  </si>
  <si>
    <t>Donelia Deva Sashikirana</t>
  </si>
  <si>
    <t>Edison Aderlard Wijaya</t>
  </si>
  <si>
    <t>Elden Alcane</t>
  </si>
  <si>
    <t>Eileen Audrey Avisa</t>
  </si>
  <si>
    <t xml:space="preserve">Farrah Fillia Bernardina </t>
  </si>
  <si>
    <t>Gamaliel Angelo</t>
  </si>
  <si>
    <t>Jeanella Yachne Seera</t>
  </si>
  <si>
    <t>Myesha Zuhaira</t>
  </si>
  <si>
    <t>Quenna Zaafarana Zaviera</t>
  </si>
  <si>
    <t>Raphael Agustin</t>
  </si>
  <si>
    <t>Meinanda Aqila</t>
  </si>
  <si>
    <t>Nathaniel Agam Bonjabi</t>
  </si>
  <si>
    <t>Adi Kusuma Adisucipto</t>
  </si>
  <si>
    <t>Beverly Benardette</t>
  </si>
  <si>
    <t>Beverage</t>
  </si>
  <si>
    <t>Gracia Marcialiana</t>
  </si>
  <si>
    <t>Vanilla Vanessa Adyana</t>
  </si>
  <si>
    <t>Tea, coffee and creamer</t>
  </si>
  <si>
    <t>Sandra Dewi Munadi</t>
  </si>
  <si>
    <t>Angela Lay</t>
  </si>
  <si>
    <t>Xyavenna Aphrodite</t>
  </si>
  <si>
    <t>Kevin Kim</t>
  </si>
  <si>
    <t xml:space="preserve">Thomas Kim </t>
  </si>
  <si>
    <t>Chase Lee</t>
  </si>
  <si>
    <t>Gregorius Naldo</t>
  </si>
  <si>
    <t>Zahra Fairuznisa</t>
  </si>
  <si>
    <t>Bekasi</t>
  </si>
  <si>
    <t>Zulfa Rufaida</t>
  </si>
  <si>
    <t>Mark Lee</t>
  </si>
  <si>
    <t>Hendery Xiao</t>
  </si>
  <si>
    <t>Natalie Angelique</t>
  </si>
  <si>
    <t>Cannelle Lounge</t>
  </si>
  <si>
    <t>Sunny Anne</t>
  </si>
  <si>
    <t>Freya Grizelle</t>
  </si>
  <si>
    <t>Iva Jovanka</t>
  </si>
  <si>
    <t>Jovita Kyra</t>
  </si>
  <si>
    <t>Kirana  Meise</t>
  </si>
  <si>
    <t>Joy Zeline</t>
  </si>
  <si>
    <t>Jovanka Lovata</t>
  </si>
  <si>
    <t>Rosaline Luna</t>
  </si>
  <si>
    <t>Arina Clarissa</t>
  </si>
  <si>
    <t>Deolinda Elvina</t>
  </si>
  <si>
    <t>Johannes Liam</t>
  </si>
  <si>
    <t>Jonathan Mason</t>
  </si>
  <si>
    <t>Chelsea Wang</t>
  </si>
  <si>
    <t>Santiago Wesley</t>
  </si>
  <si>
    <t>Cornelia Francisca</t>
  </si>
  <si>
    <t>Acacia Pearly</t>
  </si>
  <si>
    <t>Brandon Damian</t>
  </si>
  <si>
    <t>Daenerys Targaryen</t>
  </si>
  <si>
    <t>Aiden Kim</t>
  </si>
  <si>
    <t>Jesper Park</t>
  </si>
  <si>
    <t>Paul Colin</t>
  </si>
  <si>
    <t>Lilac Levina</t>
  </si>
  <si>
    <t>Agatha Vanda</t>
  </si>
  <si>
    <t>Nash Ace</t>
  </si>
  <si>
    <t>Lane Anderson</t>
  </si>
  <si>
    <t>Emilia Alice</t>
  </si>
  <si>
    <t>Cora Serenity</t>
  </si>
  <si>
    <t>Nova Clara</t>
  </si>
  <si>
    <t>Julius Daxton</t>
  </si>
  <si>
    <t>Emery Jade</t>
  </si>
  <si>
    <t>Amy Teagen</t>
  </si>
  <si>
    <t>Dakota Jaxton</t>
  </si>
  <si>
    <t>Laila Velerine</t>
  </si>
  <si>
    <t>Seth Donovan</t>
  </si>
  <si>
    <t>Naomi Scott</t>
  </si>
  <si>
    <t>Nikki Leona</t>
  </si>
  <si>
    <t>Taeyong Lee</t>
  </si>
  <si>
    <t>Adora Suvviana</t>
  </si>
  <si>
    <t>Jasmine Hara</t>
  </si>
  <si>
    <t>Sirena Meise</t>
  </si>
  <si>
    <t>Louise Adrivianne</t>
  </si>
  <si>
    <t>Aquaviviane Naine</t>
  </si>
  <si>
    <t>Key Kim</t>
  </si>
  <si>
    <t>Vivianna Garcons</t>
  </si>
  <si>
    <t>Hazel Claire</t>
  </si>
  <si>
    <t>Joseph Carter</t>
  </si>
  <si>
    <t>Dylan Luke</t>
  </si>
  <si>
    <t>Ashley Greyson</t>
  </si>
  <si>
    <t>Ruby Willow</t>
  </si>
  <si>
    <t>Aubree Vivian</t>
  </si>
  <si>
    <t>Reese Paige</t>
  </si>
  <si>
    <t>Evan Maverick</t>
  </si>
  <si>
    <t>Aleyna Camelia</t>
  </si>
  <si>
    <t>Marcus Mrooklyn</t>
  </si>
  <si>
    <t>Irene Lee</t>
  </si>
  <si>
    <t>Natasha Febrianti</t>
  </si>
  <si>
    <t>Angelique Nicole</t>
  </si>
  <si>
    <t>Reynadya Farissa</t>
  </si>
  <si>
    <t>Jennie Kim</t>
  </si>
  <si>
    <t>Johnny Seo</t>
  </si>
  <si>
    <t>Alexander Lee</t>
  </si>
  <si>
    <t>Cherrys Yohana</t>
  </si>
  <si>
    <t>Roseanne Park</t>
  </si>
  <si>
    <t>Rosi Tampubolon</t>
  </si>
  <si>
    <t>Dhika Arisno</t>
  </si>
  <si>
    <t>Anastasia Belinda</t>
  </si>
  <si>
    <t>Milaney Wangsa Widyatama</t>
  </si>
  <si>
    <t>Rata-rata Total Payment</t>
  </si>
  <si>
    <t>Total Quantity</t>
  </si>
  <si>
    <t>No</t>
  </si>
  <si>
    <t>Product Brand</t>
  </si>
  <si>
    <t>FP</t>
  </si>
  <si>
    <t>Food Product</t>
  </si>
  <si>
    <t>NF</t>
  </si>
  <si>
    <t>Non Food Product</t>
  </si>
  <si>
    <t>PB</t>
  </si>
  <si>
    <t>Perishable</t>
  </si>
  <si>
    <t>GM</t>
  </si>
  <si>
    <t>General Merchandise Product</t>
  </si>
  <si>
    <t>Tabel Category</t>
  </si>
  <si>
    <t xml:space="preserve"> Price item </t>
  </si>
  <si>
    <t xml:space="preserve">Barcode </t>
  </si>
  <si>
    <t>Tabel Barcode</t>
  </si>
  <si>
    <t>G</t>
  </si>
  <si>
    <t>Gold</t>
  </si>
  <si>
    <t>S</t>
  </si>
  <si>
    <t>Silver</t>
  </si>
  <si>
    <t>P</t>
  </si>
  <si>
    <t>Platinum</t>
  </si>
  <si>
    <t>5 Point</t>
  </si>
  <si>
    <t>10 Point</t>
  </si>
  <si>
    <t>15 Point</t>
  </si>
  <si>
    <t>20 Point</t>
  </si>
  <si>
    <t>25 Point</t>
  </si>
  <si>
    <t>Tabel Point</t>
  </si>
  <si>
    <t>Yang termasuk Product ID</t>
  </si>
  <si>
    <t>Tabel Produk Berdasarkan Category</t>
  </si>
  <si>
    <t>Price/Unit</t>
  </si>
  <si>
    <t>Tabel Harga Rata-Rata Berdasarkan Category</t>
  </si>
  <si>
    <t>Staple food</t>
  </si>
  <si>
    <t>Tabel Harga Berdasarkan Nama Produk</t>
  </si>
  <si>
    <t>Nama Produk</t>
  </si>
  <si>
    <t>Grand Total</t>
  </si>
  <si>
    <t>Total Pembayaran</t>
  </si>
  <si>
    <t>Domisili</t>
  </si>
  <si>
    <t xml:space="preserve">Total Quantity </t>
  </si>
  <si>
    <t>Rata-Rata Harga Per Item</t>
  </si>
  <si>
    <t>Member</t>
  </si>
  <si>
    <t xml:space="preserve">Rata-Rata Harga Per item Berdasarkan Nama Produk dan Membership </t>
  </si>
  <si>
    <t xml:space="preserve">Jumlah Barang Terjual Berdasarkan Domisili dan Product ID </t>
  </si>
  <si>
    <t xml:space="preserve">Total Pembayaran Berdasarkan Jenis Kelamin dan Category </t>
  </si>
  <si>
    <t>Membership</t>
  </si>
  <si>
    <t>*Slicer Dapat digunakan Untuk Filter Semua Table</t>
  </si>
  <si>
    <t>*Stacked Colomn Chart</t>
  </si>
  <si>
    <t>*Clusterd Bar Chart</t>
  </si>
  <si>
    <t>F = Female</t>
  </si>
  <si>
    <t>M = Male</t>
  </si>
  <si>
    <t>Total Pengguna (Membership) Berdasarkan Gender dan Domisili</t>
  </si>
  <si>
    <t>*Line Chart</t>
  </si>
  <si>
    <t>*Pie Chart</t>
  </si>
  <si>
    <t>Data Table</t>
  </si>
  <si>
    <t>Total Quantity Item</t>
  </si>
  <si>
    <t>Average Price</t>
  </si>
  <si>
    <t>Service Tax</t>
  </si>
  <si>
    <t>Estimated Income</t>
  </si>
  <si>
    <t>Income After Tax</t>
  </si>
  <si>
    <t>Skenario : Jika Ingin Mencapai Target Keuntungan IDR 250 JT</t>
  </si>
  <si>
    <t>Quantity</t>
  </si>
  <si>
    <t>Price</t>
  </si>
  <si>
    <t>Total Sales</t>
  </si>
  <si>
    <t>*Average Price x Total Quantity Item</t>
  </si>
  <si>
    <t>*(Estimated Income x Service Tax) + Estimated Income</t>
  </si>
  <si>
    <t>*Price x Quantity</t>
  </si>
  <si>
    <t>Expense (Pengeluaran)</t>
  </si>
  <si>
    <t>Fixed Cost</t>
  </si>
  <si>
    <t>Variable Cost</t>
  </si>
  <si>
    <t>Total Expense</t>
  </si>
  <si>
    <t>*(Fixed Cost x Total Quantity Item) + (Variable Cost*Total Quantity Item)</t>
  </si>
  <si>
    <t>Net Income</t>
  </si>
  <si>
    <t>Producing Expense</t>
  </si>
  <si>
    <t>Packaging Expense</t>
  </si>
  <si>
    <t>*(Producing Expense x Quantity) + (Packaging Expense * Quantity)</t>
  </si>
  <si>
    <t>Total Expense (1)</t>
  </si>
  <si>
    <t>*Income After Tax - Total Expense (1)</t>
  </si>
  <si>
    <t>Total Expense(2)</t>
  </si>
  <si>
    <t>*Total Sales - Total Expense(2)</t>
  </si>
  <si>
    <t>Price/item within formula average by category product</t>
  </si>
  <si>
    <t>Price/item</t>
  </si>
  <si>
    <t>Inventory Stock</t>
  </si>
  <si>
    <t>Administration Expense</t>
  </si>
  <si>
    <t>Service Expense</t>
  </si>
  <si>
    <t>Total Price Per Stock</t>
  </si>
  <si>
    <t>Total Revenue</t>
  </si>
  <si>
    <t>Allocation Stakeholder Supermarket</t>
  </si>
  <si>
    <t>Supermarket Location A</t>
  </si>
  <si>
    <t>Supermarket Location B</t>
  </si>
  <si>
    <t>Supermarket Location C</t>
  </si>
  <si>
    <t>Supermarket Location D</t>
  </si>
  <si>
    <t>Solving a problem to evaluated potential sales location A to location D</t>
  </si>
  <si>
    <t>Net Sales</t>
  </si>
  <si>
    <t>Accumulation Expense (Payment Period of rent space)</t>
  </si>
  <si>
    <t>Installment</t>
  </si>
  <si>
    <t>Periodic of installment</t>
  </si>
  <si>
    <t>Lease interest expense</t>
  </si>
  <si>
    <t>Periodic on Year</t>
  </si>
  <si>
    <t>Payment of Installment</t>
  </si>
  <si>
    <t>Interest</t>
  </si>
  <si>
    <t>Principal</t>
  </si>
  <si>
    <t>Total Debt</t>
  </si>
  <si>
    <t>*Interest = Formula (Lease Interest Expense (K8)%;POI;Periodic of Installment;Total Debit)</t>
  </si>
  <si>
    <t>*Principal = Formula (Lease Interest Expense (K8)%;POI;Periodic of Installment;Total Debit)</t>
  </si>
  <si>
    <t xml:space="preserve">Food Product </t>
  </si>
  <si>
    <t>Inventory</t>
  </si>
  <si>
    <t xml:space="preserve">Update </t>
  </si>
  <si>
    <t>Total Product</t>
  </si>
  <si>
    <t>Rata-rata  Payment</t>
  </si>
  <si>
    <t>NFP</t>
  </si>
  <si>
    <t>GMP</t>
  </si>
  <si>
    <t>Jumlah</t>
  </si>
  <si>
    <t>Variable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</si>
</sst>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IDR&quot;* #,##0_);_(&quot;IDR&quot;* \(#,##0\);_(&quot;IDR&quot;* &quot;-&quot;_);_(@_)"/>
    <numFmt numFmtId="165" formatCode="0&quot;%&quot;"/>
    <numFmt numFmtId="166" formatCode="0.0"/>
    <numFmt numFmtId="167" formatCode="_(&quot;IDR&quot;* #,##0.00_);_(&quot;IDR&quot;* \(#,##0.00\);_(&quot;IDR&quot;* &quot;-&quot;??_);_(@_)"/>
    <numFmt numFmtId="168" formatCode="_(&quot;IDR&quot;* #,##0_);_(&quot;IDR&quot;* \(#,##0\);_(&quot;IDR&quot;* &quot;-&quot;??_);_(@_)"/>
  </numFmts>
  <fonts count="9" x14ac:knownFonts="1">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0"/>
      <color rgb="FF000000"/>
      <name val="Tahoma"/>
      <family val="2"/>
    </font>
    <font>
      <sz val="10"/>
      <color rgb="FF000000"/>
      <name val="Tahoma"/>
      <family val="2"/>
    </font>
    <font>
      <sz val="12"/>
      <color rgb="FF000000"/>
      <name val="Calibri"/>
      <family val="2"/>
      <scheme val="minor"/>
    </font>
    <font>
      <b/>
      <sz val="12"/>
      <color rgb="FF000000"/>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rgb="FFBCFF99"/>
        <bgColor indexed="64"/>
      </patternFill>
    </fill>
    <fill>
      <patternFill patternType="solid">
        <fgColor theme="4" tint="-0.249977111117893"/>
        <bgColor indexed="64"/>
      </patternFill>
    </fill>
    <fill>
      <patternFill patternType="solid">
        <fgColor rgb="FFBCFF99"/>
        <bgColor rgb="FF000000"/>
      </patternFill>
    </fill>
    <fill>
      <patternFill patternType="solid">
        <fgColor rgb="FFC00000"/>
        <bgColor indexed="64"/>
      </patternFill>
    </fill>
    <fill>
      <patternFill patternType="solid">
        <fgColor theme="0"/>
        <bgColor indexed="64"/>
      </patternFill>
    </fill>
    <fill>
      <patternFill patternType="solid">
        <fgColor theme="1" tint="0.249977111117893"/>
        <bgColor indexed="64"/>
      </patternFill>
    </fill>
    <fill>
      <patternFill patternType="solid">
        <fgColor theme="1" tint="4.9989318521683403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top/>
      <bottom style="thin">
        <color theme="4" tint="-0.249977111117893"/>
      </bottom>
      <diagonal/>
    </border>
    <border>
      <left/>
      <right/>
      <top/>
      <bottom style="thin">
        <color theme="7" tint="-0.249977111117893"/>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0"/>
      </left>
      <right/>
      <top/>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style="thin">
        <color theme="4" tint="-0.249977111117893"/>
      </right>
      <top/>
      <bottom/>
      <diagonal/>
    </border>
    <border>
      <left style="thin">
        <color theme="4" tint="-0.249977111117893"/>
      </left>
      <right style="thin">
        <color theme="4" tint="-0.249977111117893"/>
      </right>
      <top/>
      <bottom style="thin">
        <color theme="5"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7" tint="-0.249977111117893"/>
      </right>
      <top style="thin">
        <color theme="0"/>
      </top>
      <bottom style="thin">
        <color theme="0"/>
      </bottom>
      <diagonal/>
    </border>
    <border>
      <left/>
      <right/>
      <top style="thin">
        <color theme="4" tint="-0.249977111117893"/>
      </top>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style="thin">
        <color indexed="64"/>
      </right>
      <top style="thin">
        <color theme="4" tint="-0.249977111117893"/>
      </top>
      <bottom style="thin">
        <color theme="4" tint="-0.249977111117893"/>
      </bottom>
      <diagonal/>
    </border>
    <border>
      <left style="thin">
        <color theme="7" tint="-0.249977111117893"/>
      </left>
      <right style="thin">
        <color indexed="64"/>
      </right>
      <top style="thin">
        <color theme="4" tint="-0.249977111117893"/>
      </top>
      <bottom style="thin">
        <color theme="4" tint="-0.249977111117893"/>
      </bottom>
      <diagonal/>
    </border>
    <border>
      <left style="thin">
        <color theme="4" tint="-0.249977111117893"/>
      </left>
      <right style="thin">
        <color theme="0"/>
      </right>
      <top style="thin">
        <color theme="4" tint="-0.249977111117893"/>
      </top>
      <bottom style="thin">
        <color theme="0"/>
      </bottom>
      <diagonal/>
    </border>
    <border>
      <left/>
      <right/>
      <top/>
      <bottom style="thin">
        <color rgb="FFC00000"/>
      </bottom>
      <diagonal/>
    </border>
    <border>
      <left style="thin">
        <color rgb="FFC00000"/>
      </left>
      <right style="thin">
        <color rgb="FFC00000"/>
      </right>
      <top style="thin">
        <color rgb="FFC00000"/>
      </top>
      <bottom style="thin">
        <color rgb="FFC00000"/>
      </bottom>
      <diagonal/>
    </border>
    <border>
      <left style="thin">
        <color theme="0"/>
      </left>
      <right/>
      <top style="thin">
        <color rgb="FFC00000"/>
      </top>
      <bottom/>
      <diagonal/>
    </border>
    <border>
      <left style="thin">
        <color theme="0"/>
      </left>
      <right/>
      <top style="thin">
        <color rgb="FFC00000"/>
      </top>
      <bottom style="thin">
        <color rgb="FFC00000"/>
      </bottom>
      <diagonal/>
    </border>
    <border>
      <left style="thin">
        <color rgb="FFC00000"/>
      </left>
      <right style="thin">
        <color rgb="FFC00000"/>
      </right>
      <top/>
      <bottom/>
      <diagonal/>
    </border>
    <border>
      <left style="thin">
        <color rgb="FFC00000"/>
      </left>
      <right style="thin">
        <color rgb="FFC00000"/>
      </right>
      <top style="thin">
        <color rgb="FFC00000"/>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rgb="FFC00000"/>
      </left>
      <right/>
      <top/>
      <bottom/>
      <diagonal/>
    </border>
    <border>
      <left/>
      <right style="thin">
        <color rgb="FFC00000"/>
      </right>
      <top/>
      <bottom/>
      <diagonal/>
    </border>
    <border>
      <left/>
      <right style="thin">
        <color rgb="FFC00000"/>
      </right>
      <top style="thin">
        <color rgb="FFC00000"/>
      </top>
      <bottom style="thin">
        <color rgb="FFC00000"/>
      </bottom>
      <diagonal/>
    </border>
    <border>
      <left style="thin">
        <color theme="1"/>
      </left>
      <right style="thin">
        <color theme="1"/>
      </right>
      <top/>
      <bottom style="thin">
        <color theme="1"/>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35">
    <xf numFmtId="0" fontId="0" fillId="0" borderId="0" xfId="0"/>
    <xf numFmtId="0" fontId="0" fillId="0" borderId="0" xfId="0"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xf>
    <xf numFmtId="9" fontId="0" fillId="0" borderId="1" xfId="0" applyNumberFormat="1" applyBorder="1" applyAlignment="1">
      <alignment horizontal="center" vertical="center"/>
    </xf>
    <xf numFmtId="0" fontId="0" fillId="2" borderId="1" xfId="0" applyFill="1" applyBorder="1" applyAlignment="1">
      <alignment horizontal="center"/>
    </xf>
    <xf numFmtId="0" fontId="0" fillId="0" borderId="0" xfId="0" applyAlignment="1">
      <alignment horizontal="center" vertical="center"/>
    </xf>
    <xf numFmtId="164" fontId="0" fillId="0" borderId="0" xfId="0" applyNumberFormat="1" applyAlignment="1">
      <alignment horizontal="center"/>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0" fillId="3" borderId="1" xfId="0" applyFill="1" applyBorder="1" applyAlignment="1">
      <alignment horizontal="center"/>
    </xf>
    <xf numFmtId="0" fontId="0" fillId="0" borderId="1" xfId="0" applyBorder="1"/>
    <xf numFmtId="0" fontId="0" fillId="0" borderId="1" xfId="0" applyBorder="1" applyAlignment="1">
      <alignment horizontal="left" vertical="center"/>
    </xf>
    <xf numFmtId="0" fontId="2" fillId="4" borderId="1" xfId="0" applyFont="1" applyFill="1" applyBorder="1" applyAlignment="1">
      <alignment horizontal="center" vertical="center"/>
    </xf>
    <xf numFmtId="0" fontId="7" fillId="0" borderId="0" xfId="0" applyFont="1" applyAlignment="1">
      <alignment horizontal="center"/>
    </xf>
    <xf numFmtId="0" fontId="7" fillId="0" borderId="0" xfId="0" applyFont="1" applyAlignment="1">
      <alignment horizontal="center" vertical="top"/>
    </xf>
    <xf numFmtId="0" fontId="8" fillId="5" borderId="1" xfId="0" applyFont="1" applyFill="1" applyBorder="1" applyAlignment="1">
      <alignment horizontal="center" vertical="top" wrapText="1"/>
    </xf>
    <xf numFmtId="0" fontId="8" fillId="5" borderId="2" xfId="0" applyFont="1" applyFill="1" applyBorder="1" applyAlignment="1">
      <alignment horizontal="center" vertical="top" wrapText="1"/>
    </xf>
    <xf numFmtId="164" fontId="8" fillId="5" borderId="2" xfId="0" applyNumberFormat="1" applyFont="1" applyFill="1" applyBorder="1" applyAlignment="1">
      <alignment horizontal="center" vertical="top" wrapText="1"/>
    </xf>
    <xf numFmtId="0" fontId="7" fillId="0" borderId="3" xfId="0" applyFont="1" applyBorder="1" applyAlignment="1">
      <alignment horizontal="center" vertical="top"/>
    </xf>
    <xf numFmtId="14" fontId="7" fillId="0" borderId="4" xfId="0" applyNumberFormat="1" applyFont="1" applyBorder="1" applyAlignment="1">
      <alignment horizontal="center" vertical="top"/>
    </xf>
    <xf numFmtId="0" fontId="7" fillId="0" borderId="4" xfId="0" applyFont="1" applyBorder="1" applyAlignment="1">
      <alignment horizontal="center" vertical="top" wrapText="1"/>
    </xf>
    <xf numFmtId="0" fontId="7" fillId="0" borderId="4" xfId="0" applyFont="1" applyBorder="1" applyAlignment="1">
      <alignment horizontal="center" vertical="top"/>
    </xf>
    <xf numFmtId="164" fontId="7" fillId="0" borderId="4" xfId="0" applyNumberFormat="1" applyFont="1" applyBorder="1" applyAlignment="1">
      <alignment horizontal="center" vertical="top"/>
    </xf>
    <xf numFmtId="0" fontId="7" fillId="5" borderId="3" xfId="0" applyFont="1" applyFill="1" applyBorder="1" applyAlignment="1">
      <alignment horizontal="center" vertical="top"/>
    </xf>
    <xf numFmtId="164" fontId="7" fillId="0" borderId="0" xfId="0" applyNumberFormat="1" applyFont="1" applyAlignment="1">
      <alignment horizontal="center" vertical="top"/>
    </xf>
    <xf numFmtId="0" fontId="2" fillId="4" borderId="1" xfId="0" applyFont="1" applyFill="1" applyBorder="1"/>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9" fontId="0" fillId="0" borderId="1" xfId="1" applyFont="1" applyBorder="1" applyAlignment="1">
      <alignment horizontal="center"/>
    </xf>
    <xf numFmtId="9" fontId="7" fillId="0" borderId="4" xfId="0" applyNumberFormat="1" applyFont="1" applyBorder="1" applyAlignment="1">
      <alignment horizontal="center"/>
    </xf>
    <xf numFmtId="0" fontId="7" fillId="0" borderId="1" xfId="0" applyFont="1" applyBorder="1" applyAlignment="1">
      <alignment horizontal="center" vertical="center"/>
    </xf>
    <xf numFmtId="0" fontId="2" fillId="6" borderId="1" xfId="0" applyFont="1" applyFill="1" applyBorder="1" applyAlignment="1">
      <alignment horizontal="left" vertical="center"/>
    </xf>
    <xf numFmtId="0" fontId="4" fillId="6" borderId="1" xfId="0" applyFont="1" applyFill="1" applyBorder="1" applyAlignment="1">
      <alignment horizontal="center" vertical="center"/>
    </xf>
    <xf numFmtId="0" fontId="3" fillId="0" borderId="0" xfId="0" applyFont="1" applyAlignment="1">
      <alignment horizontal="center" vertical="center"/>
    </xf>
    <xf numFmtId="0" fontId="0" fillId="0" borderId="1" xfId="0" applyBorder="1" applyAlignment="1">
      <alignment vertical="center"/>
    </xf>
    <xf numFmtId="0" fontId="3" fillId="0" borderId="0" xfId="0" applyFont="1"/>
    <xf numFmtId="164" fontId="0" fillId="0" borderId="1" xfId="0" applyNumberFormat="1" applyBorder="1"/>
    <xf numFmtId="0" fontId="4" fillId="6" borderId="3" xfId="0" applyFont="1" applyFill="1" applyBorder="1" applyAlignment="1">
      <alignment horizontal="center" vertical="center"/>
    </xf>
    <xf numFmtId="0" fontId="0" fillId="0" borderId="5" xfId="0" applyBorder="1"/>
    <xf numFmtId="0" fontId="4" fillId="0" borderId="5" xfId="0" applyFont="1" applyBorder="1" applyAlignment="1">
      <alignment horizontal="center" vertical="center"/>
    </xf>
    <xf numFmtId="164" fontId="0" fillId="0" borderId="1" xfId="0" applyNumberFormat="1" applyBorder="1" applyAlignment="1">
      <alignment vertical="center"/>
    </xf>
    <xf numFmtId="0" fontId="2" fillId="4" borderId="1" xfId="0" applyFont="1" applyFill="1" applyBorder="1" applyAlignment="1">
      <alignment horizontal="left" vertical="center"/>
    </xf>
    <xf numFmtId="0" fontId="8" fillId="0" borderId="5" xfId="0" applyFont="1" applyBorder="1" applyAlignment="1">
      <alignment vertical="center"/>
    </xf>
    <xf numFmtId="164" fontId="0" fillId="0" borderId="0" xfId="0" applyNumberFormat="1"/>
    <xf numFmtId="0" fontId="3" fillId="0" borderId="0" xfId="0" applyFont="1" applyAlignment="1">
      <alignment horizontal="left" vertical="center"/>
    </xf>
    <xf numFmtId="0" fontId="0" fillId="0" borderId="0" xfId="0" applyAlignment="1">
      <alignment horizontal="left" vertical="center"/>
    </xf>
    <xf numFmtId="0" fontId="0" fillId="0" borderId="0" xfId="0" applyAlignment="1">
      <alignment vertical="center"/>
    </xf>
    <xf numFmtId="0" fontId="0" fillId="0" borderId="0" xfId="0" pivotButton="1"/>
    <xf numFmtId="0" fontId="0" fillId="0" borderId="0" xfId="0" applyAlignment="1">
      <alignment horizontal="left"/>
    </xf>
    <xf numFmtId="0" fontId="3" fillId="0" borderId="0" xfId="0" applyFont="1" applyAlignment="1">
      <alignment vertical="center"/>
    </xf>
    <xf numFmtId="0" fontId="0" fillId="0" borderId="0" xfId="0" pivotButton="1" applyAlignment="1">
      <alignment horizontal="center"/>
    </xf>
    <xf numFmtId="0" fontId="0" fillId="0" borderId="7" xfId="0" applyBorder="1" applyAlignment="1">
      <alignment horizontal="center"/>
    </xf>
    <xf numFmtId="0" fontId="0" fillId="2" borderId="0" xfId="0" applyFill="1" applyAlignment="1">
      <alignment horizontal="left"/>
    </xf>
    <xf numFmtId="0" fontId="4" fillId="4" borderId="0" xfId="0" applyFont="1" applyFill="1" applyAlignment="1">
      <alignment horizontal="left"/>
    </xf>
    <xf numFmtId="164" fontId="4" fillId="4" borderId="0" xfId="0" applyNumberFormat="1" applyFont="1" applyFill="1" applyAlignment="1">
      <alignment horizontal="center"/>
    </xf>
    <xf numFmtId="164" fontId="0" fillId="0" borderId="11" xfId="0" applyNumberFormat="1" applyBorder="1" applyAlignment="1">
      <alignment horizontal="center"/>
    </xf>
    <xf numFmtId="164" fontId="0" fillId="0" borderId="12" xfId="0" applyNumberFormat="1" applyBorder="1" applyAlignment="1">
      <alignment horizontal="center"/>
    </xf>
    <xf numFmtId="164" fontId="0" fillId="0" borderId="13" xfId="0" applyNumberFormat="1" applyBorder="1" applyAlignment="1">
      <alignment horizontal="center"/>
    </xf>
    <xf numFmtId="0" fontId="4" fillId="4" borderId="9" xfId="0" applyFont="1" applyFill="1" applyBorder="1" applyAlignment="1">
      <alignment horizontal="center"/>
    </xf>
    <xf numFmtId="0" fontId="4" fillId="4" borderId="15" xfId="0" applyFont="1" applyFill="1" applyBorder="1" applyAlignment="1">
      <alignment horizontal="center"/>
    </xf>
    <xf numFmtId="0" fontId="0" fillId="0" borderId="16" xfId="0" applyBorder="1"/>
    <xf numFmtId="0" fontId="0" fillId="0" borderId="6" xfId="0" applyBorder="1" applyAlignment="1">
      <alignment horizontal="center"/>
    </xf>
    <xf numFmtId="0" fontId="4" fillId="4" borderId="8" xfId="0" applyFont="1" applyFill="1" applyBorder="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4" fillId="4" borderId="19" xfId="0" applyFont="1" applyFill="1" applyBorder="1" applyAlignment="1">
      <alignment horizontal="center"/>
    </xf>
    <xf numFmtId="0" fontId="4" fillId="4" borderId="20" xfId="0" applyFont="1" applyFill="1" applyBorder="1" applyAlignment="1">
      <alignment horizontal="center"/>
    </xf>
    <xf numFmtId="164" fontId="0" fillId="0" borderId="14" xfId="0" applyNumberFormat="1" applyBorder="1" applyAlignment="1">
      <alignment horizontal="center"/>
    </xf>
    <xf numFmtId="164" fontId="4" fillId="4" borderId="9" xfId="0" applyNumberFormat="1"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4" fillId="4" borderId="0" xfId="0" applyFont="1" applyFill="1" applyAlignment="1">
      <alignment horizontal="center"/>
    </xf>
    <xf numFmtId="0" fontId="0" fillId="0" borderId="21" xfId="0" applyBorder="1"/>
    <xf numFmtId="0" fontId="4" fillId="6" borderId="23" xfId="0" applyFont="1" applyFill="1" applyBorder="1" applyAlignment="1">
      <alignment horizontal="center"/>
    </xf>
    <xf numFmtId="0" fontId="4" fillId="6" borderId="24" xfId="0" applyFont="1" applyFill="1" applyBorder="1" applyAlignment="1">
      <alignment horizontal="center"/>
    </xf>
    <xf numFmtId="0" fontId="4" fillId="6" borderId="10" xfId="0" applyFont="1" applyFill="1" applyBorder="1" applyAlignment="1">
      <alignment horizontal="center"/>
    </xf>
    <xf numFmtId="0" fontId="0" fillId="0" borderId="22" xfId="0" applyBorder="1"/>
    <xf numFmtId="0" fontId="0" fillId="0" borderId="31" xfId="0" applyBorder="1"/>
    <xf numFmtId="0" fontId="0" fillId="0" borderId="22" xfId="0" applyBorder="1" applyAlignment="1">
      <alignment horizontal="right"/>
    </xf>
    <xf numFmtId="164" fontId="0" fillId="0" borderId="26" xfId="0" applyNumberFormat="1" applyBorder="1" applyAlignment="1">
      <alignment horizontal="right"/>
    </xf>
    <xf numFmtId="9" fontId="0" fillId="0" borderId="22" xfId="0" applyNumberFormat="1" applyBorder="1" applyAlignment="1">
      <alignment horizontal="right"/>
    </xf>
    <xf numFmtId="164" fontId="0" fillId="0" borderId="25" xfId="0" applyNumberFormat="1" applyBorder="1" applyAlignment="1">
      <alignment horizontal="right"/>
    </xf>
    <xf numFmtId="164" fontId="0" fillId="0" borderId="22" xfId="0" applyNumberFormat="1" applyBorder="1" applyAlignment="1">
      <alignment horizontal="right"/>
    </xf>
    <xf numFmtId="164" fontId="0" fillId="0" borderId="31" xfId="0" applyNumberFormat="1" applyBorder="1"/>
    <xf numFmtId="9" fontId="0" fillId="0" borderId="30" xfId="0" applyNumberFormat="1" applyBorder="1"/>
    <xf numFmtId="164" fontId="0" fillId="0" borderId="22" xfId="0" applyNumberFormat="1" applyBorder="1"/>
    <xf numFmtId="0" fontId="0" fillId="6" borderId="22" xfId="0" applyFill="1" applyBorder="1"/>
    <xf numFmtId="0" fontId="4" fillId="6" borderId="22" xfId="0" applyFont="1" applyFill="1" applyBorder="1"/>
    <xf numFmtId="164" fontId="4" fillId="6" borderId="22" xfId="0" applyNumberFormat="1" applyFont="1" applyFill="1" applyBorder="1"/>
    <xf numFmtId="0" fontId="4" fillId="6" borderId="22" xfId="0" applyFont="1" applyFill="1" applyBorder="1" applyAlignment="1">
      <alignment horizontal="center"/>
    </xf>
    <xf numFmtId="0" fontId="4" fillId="6" borderId="0" xfId="0" applyFont="1" applyFill="1" applyAlignment="1">
      <alignment horizontal="center"/>
    </xf>
    <xf numFmtId="164" fontId="4" fillId="6" borderId="0" xfId="0" applyNumberFormat="1" applyFont="1" applyFill="1"/>
    <xf numFmtId="9" fontId="3" fillId="0" borderId="0" xfId="0" applyNumberFormat="1" applyFont="1" applyAlignment="1">
      <alignment vertical="center"/>
    </xf>
    <xf numFmtId="0" fontId="3" fillId="0" borderId="22" xfId="0" applyFont="1" applyBorder="1" applyAlignment="1">
      <alignment horizontal="center" vertical="center"/>
    </xf>
    <xf numFmtId="0" fontId="2" fillId="6" borderId="22" xfId="0" applyFont="1" applyFill="1" applyBorder="1" applyAlignment="1">
      <alignment horizontal="center" vertical="center"/>
    </xf>
    <xf numFmtId="0" fontId="2" fillId="6" borderId="22" xfId="0" applyFont="1" applyFill="1" applyBorder="1" applyAlignment="1">
      <alignment vertical="center"/>
    </xf>
    <xf numFmtId="164" fontId="2" fillId="6" borderId="22" xfId="0" applyNumberFormat="1" applyFont="1" applyFill="1" applyBorder="1" applyAlignment="1">
      <alignment vertical="center"/>
    </xf>
    <xf numFmtId="0" fontId="3" fillId="0" borderId="0" xfId="0" applyFont="1" applyAlignment="1">
      <alignment horizontal="center" vertical="center" wrapText="1"/>
    </xf>
    <xf numFmtId="0" fontId="3" fillId="0" borderId="22" xfId="0" applyFont="1" applyBorder="1"/>
    <xf numFmtId="0" fontId="0" fillId="0" borderId="22" xfId="0" applyBorder="1" applyAlignment="1">
      <alignment horizontal="center" vertical="center"/>
    </xf>
    <xf numFmtId="0" fontId="2" fillId="6" borderId="22" xfId="0" applyFont="1" applyFill="1" applyBorder="1" applyAlignment="1">
      <alignment horizontal="center" vertical="center" wrapText="1"/>
    </xf>
    <xf numFmtId="0" fontId="0" fillId="2" borderId="22" xfId="0" applyFill="1" applyBorder="1" applyAlignment="1">
      <alignment horizontal="center" vertical="center"/>
    </xf>
    <xf numFmtId="0" fontId="2" fillId="6" borderId="0" xfId="0" applyFont="1" applyFill="1" applyAlignment="1">
      <alignment vertical="center"/>
    </xf>
    <xf numFmtId="164" fontId="2" fillId="6" borderId="0" xfId="0" applyNumberFormat="1" applyFont="1" applyFill="1" applyAlignment="1">
      <alignment vertical="center"/>
    </xf>
    <xf numFmtId="164" fontId="0" fillId="7" borderId="22" xfId="0" applyNumberFormat="1" applyFill="1" applyBorder="1"/>
    <xf numFmtId="0" fontId="0" fillId="7" borderId="22" xfId="0" applyFill="1" applyBorder="1"/>
    <xf numFmtId="165" fontId="0" fillId="7" borderId="22" xfId="1" applyNumberFormat="1" applyFont="1" applyFill="1" applyBorder="1"/>
    <xf numFmtId="166" fontId="0" fillId="7" borderId="22" xfId="0" applyNumberFormat="1" applyFill="1" applyBorder="1"/>
    <xf numFmtId="9" fontId="0" fillId="7" borderId="22" xfId="1" applyFont="1" applyFill="1" applyBorder="1"/>
    <xf numFmtId="164" fontId="0" fillId="0" borderId="22" xfId="0" applyNumberFormat="1" applyBorder="1" applyAlignment="1">
      <alignment horizontal="left"/>
    </xf>
    <xf numFmtId="167" fontId="0" fillId="0" borderId="22" xfId="0" applyNumberFormat="1" applyBorder="1" applyAlignment="1">
      <alignment horizontal="left"/>
    </xf>
    <xf numFmtId="0" fontId="0" fillId="6" borderId="22" xfId="0" applyFill="1" applyBorder="1" applyAlignment="1">
      <alignment horizontal="left"/>
    </xf>
    <xf numFmtId="168" fontId="0" fillId="0" borderId="22" xfId="0" applyNumberFormat="1" applyBorder="1"/>
    <xf numFmtId="164" fontId="3" fillId="0" borderId="0" xfId="0" applyNumberFormat="1" applyFont="1" applyAlignment="1">
      <alignment horizontal="center" vertical="center" wrapText="1"/>
    </xf>
    <xf numFmtId="9" fontId="0" fillId="0" borderId="0" xfId="0" applyNumberFormat="1" applyAlignment="1">
      <alignment horizontal="center" vertical="center"/>
    </xf>
    <xf numFmtId="0" fontId="4" fillId="8" borderId="0" xfId="0" applyFont="1" applyFill="1" applyAlignment="1">
      <alignment vertical="center"/>
    </xf>
    <xf numFmtId="0" fontId="0" fillId="7" borderId="28" xfId="0" applyFill="1" applyBorder="1"/>
    <xf numFmtId="0" fontId="0" fillId="7" borderId="32" xfId="0" applyFill="1" applyBorder="1"/>
    <xf numFmtId="0" fontId="0" fillId="7" borderId="27" xfId="0" applyFill="1" applyBorder="1"/>
    <xf numFmtId="1" fontId="0" fillId="0" borderId="0" xfId="0" applyNumberFormat="1" applyAlignment="1">
      <alignment horizontal="center" vertical="center"/>
    </xf>
    <xf numFmtId="14" fontId="0" fillId="0" borderId="33" xfId="0" applyNumberFormat="1" applyBorder="1" applyAlignment="1">
      <alignment horizontal="center"/>
    </xf>
    <xf numFmtId="14" fontId="0" fillId="0" borderId="34" xfId="0" applyNumberFormat="1" applyBorder="1" applyAlignment="1">
      <alignment horizontal="center"/>
    </xf>
    <xf numFmtId="0" fontId="3" fillId="9" borderId="5" xfId="0" applyFont="1" applyFill="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left"/>
    </xf>
    <xf numFmtId="0" fontId="0" fillId="0" borderId="0" xfId="0" applyAlignment="1">
      <alignment horizontal="left"/>
    </xf>
    <xf numFmtId="0" fontId="3" fillId="0" borderId="29" xfId="0" applyFont="1" applyBorder="1" applyAlignment="1">
      <alignment horizontal="left"/>
    </xf>
    <xf numFmtId="0" fontId="3" fillId="0" borderId="29" xfId="0" applyFont="1" applyBorder="1" applyAlignment="1">
      <alignment horizontal="center"/>
    </xf>
  </cellXfs>
  <cellStyles count="2">
    <cellStyle name="Normal" xfId="0" builtinId="0"/>
    <cellStyle name="Percent" xfId="1" builtinId="5"/>
  </cellStyles>
  <dxfs count="139">
    <dxf>
      <numFmt numFmtId="19" formatCode="dd/mm/yy"/>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1" tint="4.9989318521683403E-2"/>
        </patternFill>
      </fill>
      <alignment horizontal="center" vertical="center" textRotation="0" wrapText="1" indent="0" justifyLastLine="0" shrinkToFit="0" readingOrder="0"/>
    </dxf>
    <dxf>
      <numFmt numFmtId="164" formatCode="_(&quot;IDR&quot;* #,##0_);_(&quot;IDR&quot;* \(#,##0\);_(&quot;IDR&quot;* &quot;-&quot;_);_(@_)"/>
    </dxf>
    <dxf>
      <numFmt numFmtId="13" formatCode="0%"/>
      <alignment horizontal="center" vertical="center" textRotation="0" wrapText="0" indent="0" justifyLastLine="0" shrinkToFit="0" readingOrder="0"/>
    </dxf>
    <dxf>
      <numFmt numFmtId="164" formatCode="_(&quot;IDR&quot;* #,##0_);_(&quot;IDR&quot;* \(#,##0\);_(&quot;IDR&quot;* &quot;-&quot;_);_(@_)"/>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1"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164" formatCode="_(&quot;IDR&quot;* #,##0_);_(&quot;IDR&quot;* \(#,##0\);_(&quot;IDR&quot;* &quot;-&quot;_);_(@_)"/>
      <fill>
        <patternFill patternType="none">
          <fgColor indexed="64"/>
          <bgColor indexed="65"/>
        </patternFill>
      </fill>
    </dxf>
    <dxf>
      <font>
        <b val="0"/>
      </font>
      <numFmt numFmtId="164" formatCode="_(&quot;IDR&quot;* #,##0_);_(&quot;IDR&quot;* \(#,##0\);_(&quot;IDR&quot;* &quot;-&quot;_);_(@_)"/>
      <fill>
        <patternFill patternType="none">
          <fgColor indexed="64"/>
          <bgColor auto="1"/>
        </patternFill>
      </fill>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dxf>
    <dxf>
      <font>
        <b val="0"/>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_(&quot;IDR&quot;* #,##0_);_(&quot;IDR&quot;* \(#,##0\);_(&quot;IDR&quot;* &quot;-&quot;_);_(@_)"/>
      <fill>
        <patternFill patternType="none">
          <fgColor indexed="64"/>
          <bgColor indexed="65"/>
        </patternFill>
      </fill>
    </dxf>
    <dxf>
      <font>
        <b val="0"/>
      </font>
      <numFmt numFmtId="164" formatCode="_(&quot;IDR&quot;* #,##0_);_(&quot;IDR&quot;* \(#,##0\);_(&quot;IDR&quot;* &quot;-&quot;_);_(@_)"/>
      <fill>
        <patternFill patternType="none">
          <fgColor indexed="64"/>
          <bgColor auto="1"/>
        </patternFill>
      </fil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font>
      <fill>
        <patternFill patternType="none">
          <fgColor indexed="64"/>
          <bgColor auto="1"/>
        </patternFill>
      </fill>
      <alignment horizontal="center" vertical="center" textRotation="0" wrapText="0" indent="0" justifyLastLine="0" shrinkToFit="0" readingOrder="0"/>
    </dxf>
    <dxf>
      <font>
        <b val="0"/>
        <family val="2"/>
      </font>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1" indent="0" justifyLastLine="0" shrinkToFit="0" readingOrder="0"/>
    </dxf>
    <dxf>
      <border>
        <top style="thin">
          <color theme="4" tint="-0.249977111117893"/>
        </top>
      </border>
    </dxf>
    <dxf>
      <border>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ill>
        <patternFill>
          <bgColor theme="4" tint="-0.249977111117893"/>
        </patternFill>
      </fill>
    </dxf>
    <dxf>
      <fill>
        <patternFill>
          <bgColor theme="4" tint="-0.249977111117893"/>
        </patternFill>
      </fill>
    </dxf>
    <dxf>
      <border>
        <left style="thin">
          <color theme="5" tint="-0.249977111117893"/>
        </left>
        <right style="thin">
          <color theme="5" tint="-0.249977111117893"/>
        </right>
        <bottom style="thin">
          <color theme="5" tint="-0.249977111117893"/>
        </bottom>
      </border>
    </dxf>
    <dxf>
      <border>
        <left style="thin">
          <color theme="5" tint="-0.249977111117893"/>
        </left>
        <right style="thin">
          <color theme="5" tint="-0.249977111117893"/>
        </right>
        <bottom style="thin">
          <color theme="5" tint="-0.249977111117893"/>
        </bottom>
      </border>
    </dxf>
    <dxf>
      <border>
        <left style="thin">
          <color theme="5" tint="-0.249977111117893"/>
        </left>
        <right style="thin">
          <color theme="5" tint="-0.249977111117893"/>
        </right>
        <top style="thin">
          <color theme="5" tint="-0.249977111117893"/>
        </top>
        <bottom style="thin">
          <color theme="5" tint="-0.249977111117893"/>
        </bottom>
      </border>
    </dxf>
    <dxf>
      <numFmt numFmtId="164" formatCode="_(&quot;IDR&quot;* #,##0_);_(&quot;IDR&quot;* \(#,##0\);_(&quot;IDR&quot;* &quot;-&quot;_);_(@_)"/>
    </dxf>
    <dxf>
      <alignment horizontal="center"/>
    </dxf>
    <dxf>
      <alignment horizontal="center"/>
    </dxf>
    <dxf>
      <alignment horizontal="center"/>
    </dxf>
    <dxf>
      <alignment horizontal="center"/>
    </dxf>
    <dxf>
      <alignment horizontal="center"/>
    </dxf>
    <dxf>
      <border>
        <right style="thin">
          <color rgb="FF002060"/>
        </right>
      </border>
    </dxf>
    <dxf>
      <font>
        <color theme="0"/>
      </font>
    </dxf>
    <dxf>
      <fill>
        <patternFill>
          <bgColor theme="4" tint="-0.249977111117893"/>
        </patternFill>
      </fill>
    </dxf>
    <dxf>
      <fill>
        <patternFill patternType="solid">
          <bgColor theme="3" tint="-0.499984740745262"/>
        </patternFill>
      </fill>
    </dxf>
    <dxf>
      <border>
        <top style="thin">
          <color theme="4" tint="-0.249977111117893"/>
        </top>
      </border>
    </dxf>
    <dxf>
      <border>
        <bottom style="thin">
          <color theme="4" tint="-0.249977111117893"/>
        </bottom>
      </border>
    </dxf>
    <dxf>
      <border>
        <top style="thin">
          <color theme="4" tint="-0.249977111117893"/>
        </top>
      </border>
    </dxf>
    <dxf>
      <border>
        <bottom style="thin">
          <color theme="4" tint="-0.249977111117893"/>
        </bottom>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right style="thin">
          <color theme="4" tint="-0.249977111117893"/>
        </right>
        <top style="thin">
          <color theme="4" tint="-0.249977111117893"/>
        </top>
        <bottom style="thin">
          <color theme="4" tint="-0.249977111117893"/>
        </bottom>
      </border>
    </dxf>
    <dxf>
      <border>
        <right style="thin">
          <color theme="4" tint="-0.249977111117893"/>
        </right>
        <top style="thin">
          <color theme="4" tint="-0.249977111117893"/>
        </top>
        <bottom style="thin">
          <color theme="4" tint="-0.249977111117893"/>
        </bottom>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ill>
        <patternFill>
          <bgColor theme="4" tint="-0.249977111117893"/>
        </patternFill>
      </fill>
    </dxf>
    <dxf>
      <fill>
        <patternFill>
          <bgColor theme="4" tint="-0.249977111117893"/>
        </patternFill>
      </fill>
    </dxf>
    <dxf>
      <border>
        <bottom style="thin">
          <color theme="7" tint="-0.249977111117893"/>
        </bottom>
      </border>
    </dxf>
    <dxf>
      <border>
        <right style="thin">
          <color theme="7" tint="-0.249977111117893"/>
        </right>
      </border>
    </dxf>
    <dxf>
      <fill>
        <patternFill>
          <bgColor theme="0" tint="-4.9989318521683403E-2"/>
        </patternFill>
      </fill>
    </dxf>
    <dxf>
      <fill>
        <patternFill patternType="solid">
          <bgColor theme="7" tint="-0.249977111117893"/>
        </patternFill>
      </fill>
    </dxf>
    <dxf>
      <border>
        <bottom style="thin">
          <color theme="7" tint="-0.249977111117893"/>
        </bottom>
      </border>
    </dxf>
    <dxf>
      <border>
        <left style="thin">
          <color theme="7" tint="-0.249977111117893"/>
        </left>
      </border>
    </dxf>
    <dxf>
      <border>
        <right style="thin">
          <color theme="0"/>
        </right>
        <top style="thin">
          <color theme="0"/>
        </top>
        <bottom style="thin">
          <color theme="0"/>
        </bottom>
      </border>
    </dxf>
    <dxf>
      <border>
        <left style="thin">
          <color theme="0"/>
        </left>
        <right style="thin">
          <color theme="0"/>
        </right>
        <top style="thin">
          <color theme="0"/>
        </top>
        <bottom style="thin">
          <color theme="0"/>
        </bottom>
      </border>
    </dxf>
    <dxf>
      <fill>
        <patternFill>
          <bgColor theme="7"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4" tint="-0.249977111117893"/>
        </patternFill>
      </fill>
    </dxf>
    <dxf>
      <fill>
        <patternFill>
          <bgColor theme="4" tint="-0.249977111117893"/>
        </patternFill>
      </fill>
    </dxf>
    <dxf>
      <border>
        <right style="thin">
          <color theme="4" tint="-0.249977111117893"/>
        </right>
        <top style="thin">
          <color theme="4" tint="-0.249977111117893"/>
        </top>
        <bottom style="thin">
          <color theme="4" tint="-0.249977111117893"/>
        </bottom>
      </border>
    </dxf>
    <dxf>
      <border>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border>
        <left style="thin">
          <color theme="4" tint="-0.249977111117893"/>
        </left>
        <right style="thin">
          <color theme="4" tint="-0.249977111117893"/>
        </right>
        <top style="thin">
          <color theme="4" tint="-0.249977111117893"/>
        </top>
        <bottom style="thin">
          <color theme="4" tint="-0.249977111117893"/>
        </bottom>
      </border>
    </dxf>
    <dxf>
      <font>
        <color theme="0"/>
      </font>
    </dxf>
    <dxf>
      <font>
        <color theme="0"/>
      </font>
    </dxf>
    <dxf>
      <fill>
        <patternFill patternType="solid">
          <bgColor theme="9" tint="-0.249977111117893"/>
        </patternFill>
      </fill>
    </dxf>
    <dxf>
      <fill>
        <patternFill patternType="solid">
          <bgColor theme="9" tint="-0.249977111117893"/>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B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Case.xlsx]Pivot Table!PivotTable6</c:name>
    <c:fmtId val="1"/>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a:solidFill>
                  <a:schemeClr val="tx1"/>
                </a:solidFill>
              </a:rPr>
              <a:t> Total Pembayaran Berdasarkan Jenis Kelamin dan Category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Table'!$B$3:$B$4</c:f>
              <c:strCache>
                <c:ptCount val="1"/>
                <c:pt idx="0">
                  <c:v>Food Product</c:v>
                </c:pt>
              </c:strCache>
            </c:strRef>
          </c:tx>
          <c:spPr>
            <a:solidFill>
              <a:schemeClr val="accent1"/>
            </a:solidFill>
            <a:ln>
              <a:noFill/>
            </a:ln>
            <a:effectLst/>
          </c:spPr>
          <c:invertIfNegative val="0"/>
          <c:cat>
            <c:strRef>
              <c:f>'Pivot Table'!$A$5:$A$7</c:f>
              <c:strCache>
                <c:ptCount val="2"/>
                <c:pt idx="0">
                  <c:v>F</c:v>
                </c:pt>
                <c:pt idx="1">
                  <c:v>M</c:v>
                </c:pt>
              </c:strCache>
            </c:strRef>
          </c:cat>
          <c:val>
            <c:numRef>
              <c:f>'Pivot Table'!$B$5:$B$7</c:f>
              <c:numCache>
                <c:formatCode>_("IDR"* #,##0_);_("IDR"* \(#,##0\);_("IDR"* "-"_);_(@_)</c:formatCode>
                <c:ptCount val="2"/>
                <c:pt idx="0">
                  <c:v>19422150</c:v>
                </c:pt>
                <c:pt idx="1">
                  <c:v>12945000</c:v>
                </c:pt>
              </c:numCache>
            </c:numRef>
          </c:val>
          <c:extLst>
            <c:ext xmlns:c16="http://schemas.microsoft.com/office/drawing/2014/chart" uri="{C3380CC4-5D6E-409C-BE32-E72D297353CC}">
              <c16:uniqueId val="{00000000-42DE-7E40-B090-D6ECC85AAE6A}"/>
            </c:ext>
          </c:extLst>
        </c:ser>
        <c:ser>
          <c:idx val="1"/>
          <c:order val="1"/>
          <c:tx>
            <c:strRef>
              <c:f>'Pivot Table'!$C$3:$C$4</c:f>
              <c:strCache>
                <c:ptCount val="1"/>
                <c:pt idx="0">
                  <c:v>General Merchandise Product</c:v>
                </c:pt>
              </c:strCache>
            </c:strRef>
          </c:tx>
          <c:spPr>
            <a:solidFill>
              <a:schemeClr val="accent2"/>
            </a:solidFill>
            <a:ln>
              <a:noFill/>
            </a:ln>
            <a:effectLst/>
          </c:spPr>
          <c:invertIfNegative val="0"/>
          <c:cat>
            <c:strRef>
              <c:f>'Pivot Table'!$A$5:$A$7</c:f>
              <c:strCache>
                <c:ptCount val="2"/>
                <c:pt idx="0">
                  <c:v>F</c:v>
                </c:pt>
                <c:pt idx="1">
                  <c:v>M</c:v>
                </c:pt>
              </c:strCache>
            </c:strRef>
          </c:cat>
          <c:val>
            <c:numRef>
              <c:f>'Pivot Table'!$C$5:$C$7</c:f>
              <c:numCache>
                <c:formatCode>_("IDR"* #,##0_);_("IDR"* \(#,##0\);_("IDR"* "-"_);_(@_)</c:formatCode>
                <c:ptCount val="2"/>
                <c:pt idx="0">
                  <c:v>9955125</c:v>
                </c:pt>
                <c:pt idx="1">
                  <c:v>10556965</c:v>
                </c:pt>
              </c:numCache>
            </c:numRef>
          </c:val>
          <c:extLst>
            <c:ext xmlns:c16="http://schemas.microsoft.com/office/drawing/2014/chart" uri="{C3380CC4-5D6E-409C-BE32-E72D297353CC}">
              <c16:uniqueId val="{00000001-42DE-7E40-B090-D6ECC85AAE6A}"/>
            </c:ext>
          </c:extLst>
        </c:ser>
        <c:ser>
          <c:idx val="2"/>
          <c:order val="2"/>
          <c:tx>
            <c:strRef>
              <c:f>'Pivot Table'!$D$3:$D$4</c:f>
              <c:strCache>
                <c:ptCount val="1"/>
                <c:pt idx="0">
                  <c:v>Non Food Product</c:v>
                </c:pt>
              </c:strCache>
            </c:strRef>
          </c:tx>
          <c:spPr>
            <a:solidFill>
              <a:schemeClr val="accent3"/>
            </a:solidFill>
            <a:ln>
              <a:noFill/>
            </a:ln>
            <a:effectLst/>
          </c:spPr>
          <c:invertIfNegative val="0"/>
          <c:cat>
            <c:strRef>
              <c:f>'Pivot Table'!$A$5:$A$7</c:f>
              <c:strCache>
                <c:ptCount val="2"/>
                <c:pt idx="0">
                  <c:v>F</c:v>
                </c:pt>
                <c:pt idx="1">
                  <c:v>M</c:v>
                </c:pt>
              </c:strCache>
            </c:strRef>
          </c:cat>
          <c:val>
            <c:numRef>
              <c:f>'Pivot Table'!$D$5:$D$7</c:f>
              <c:numCache>
                <c:formatCode>_("IDR"* #,##0_);_("IDR"* \(#,##0\);_("IDR"* "-"_);_(@_)</c:formatCode>
                <c:ptCount val="2"/>
                <c:pt idx="0">
                  <c:v>25900255</c:v>
                </c:pt>
                <c:pt idx="1">
                  <c:v>12724775</c:v>
                </c:pt>
              </c:numCache>
            </c:numRef>
          </c:val>
          <c:extLst>
            <c:ext xmlns:c16="http://schemas.microsoft.com/office/drawing/2014/chart" uri="{C3380CC4-5D6E-409C-BE32-E72D297353CC}">
              <c16:uniqueId val="{00000002-42DE-7E40-B090-D6ECC85AAE6A}"/>
            </c:ext>
          </c:extLst>
        </c:ser>
        <c:ser>
          <c:idx val="3"/>
          <c:order val="3"/>
          <c:tx>
            <c:strRef>
              <c:f>'Pivot Table'!$E$3:$E$4</c:f>
              <c:strCache>
                <c:ptCount val="1"/>
                <c:pt idx="0">
                  <c:v>Perishable</c:v>
                </c:pt>
              </c:strCache>
            </c:strRef>
          </c:tx>
          <c:spPr>
            <a:solidFill>
              <a:schemeClr val="accent4"/>
            </a:solidFill>
            <a:ln>
              <a:noFill/>
            </a:ln>
            <a:effectLst/>
          </c:spPr>
          <c:invertIfNegative val="0"/>
          <c:cat>
            <c:strRef>
              <c:f>'Pivot Table'!$A$5:$A$7</c:f>
              <c:strCache>
                <c:ptCount val="2"/>
                <c:pt idx="0">
                  <c:v>F</c:v>
                </c:pt>
                <c:pt idx="1">
                  <c:v>M</c:v>
                </c:pt>
              </c:strCache>
            </c:strRef>
          </c:cat>
          <c:val>
            <c:numRef>
              <c:f>'Pivot Table'!$E$5:$E$7</c:f>
              <c:numCache>
                <c:formatCode>_("IDR"* #,##0_);_("IDR"* \(#,##0\);_("IDR"* "-"_);_(@_)</c:formatCode>
                <c:ptCount val="2"/>
                <c:pt idx="0">
                  <c:v>7369830.089999998</c:v>
                </c:pt>
                <c:pt idx="1">
                  <c:v>5953788.1199999992</c:v>
                </c:pt>
              </c:numCache>
            </c:numRef>
          </c:val>
          <c:extLst>
            <c:ext xmlns:c16="http://schemas.microsoft.com/office/drawing/2014/chart" uri="{C3380CC4-5D6E-409C-BE32-E72D297353CC}">
              <c16:uniqueId val="{00000003-42DE-7E40-B090-D6ECC85AAE6A}"/>
            </c:ext>
          </c:extLst>
        </c:ser>
        <c:dLbls>
          <c:showLegendKey val="0"/>
          <c:showVal val="0"/>
          <c:showCatName val="0"/>
          <c:showSerName val="0"/>
          <c:showPercent val="0"/>
          <c:showBubbleSize val="0"/>
        </c:dLbls>
        <c:gapWidth val="55"/>
        <c:overlap val="100"/>
        <c:axId val="1427931120"/>
        <c:axId val="554617472"/>
      </c:barChart>
      <c:catAx>
        <c:axId val="1427931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54617472"/>
        <c:crosses val="autoZero"/>
        <c:auto val="1"/>
        <c:lblAlgn val="ctr"/>
        <c:lblOffset val="100"/>
        <c:noMultiLvlLbl val="0"/>
      </c:catAx>
      <c:valAx>
        <c:axId val="554617472"/>
        <c:scaling>
          <c:orientation val="minMax"/>
        </c:scaling>
        <c:delete val="0"/>
        <c:axPos val="l"/>
        <c:majorGridlines>
          <c:spPr>
            <a:ln w="9525" cap="flat" cmpd="sng" algn="ctr">
              <a:solidFill>
                <a:schemeClr val="dk1">
                  <a:lumMod val="15000"/>
                  <a:lumOff val="85000"/>
                </a:schemeClr>
              </a:solidFill>
              <a:round/>
            </a:ln>
            <a:effectLst/>
          </c:spPr>
        </c:majorGridlines>
        <c:numFmt formatCode="_(&quot;IDR&quot;* #,##0_);_(&quot;IDR&quot;* \(#,##0\);_(&quot;ID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2793112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Case.xlsx]Pivot Table!PivotTable7</c:name>
    <c:fmtId val="0"/>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a:solidFill>
                  <a:schemeClr val="tx1"/>
                </a:solidFill>
              </a:rPr>
              <a:t>Jumlah Barang Terjual Berdasarkan Domisili dan Product ID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2"/>
          </a:solidFill>
          <a:ln>
            <a:noFill/>
          </a:ln>
          <a:effectLst/>
        </c:spPr>
      </c:pivotFmt>
      <c:pivotFmt>
        <c:idx val="18"/>
        <c:spPr>
          <a:solidFill>
            <a:schemeClr val="accent3"/>
          </a:solidFill>
          <a:ln>
            <a:noFill/>
          </a:ln>
          <a:effectLst/>
        </c:spPr>
      </c:pivotFmt>
      <c:pivotFmt>
        <c:idx val="19"/>
        <c:spPr>
          <a:solidFill>
            <a:schemeClr val="accent4"/>
          </a:solidFill>
          <a:ln>
            <a:noFill/>
          </a:ln>
          <a:effectLst/>
        </c:spPr>
      </c:pivotFmt>
      <c:pivotFmt>
        <c:idx val="20"/>
        <c:spPr>
          <a:solidFill>
            <a:schemeClr val="accent5"/>
          </a:solidFill>
          <a:ln>
            <a:noFill/>
          </a:ln>
          <a:effectLst/>
        </c:spPr>
      </c:pivotFmt>
      <c:pivotFmt>
        <c:idx val="21"/>
        <c:spPr>
          <a:solidFill>
            <a:schemeClr val="accent6"/>
          </a:solidFill>
          <a:ln>
            <a:noFill/>
          </a:ln>
          <a:effectLst/>
        </c:spPr>
      </c:pivotFmt>
      <c:pivotFmt>
        <c:idx val="22"/>
        <c:spPr>
          <a:solidFill>
            <a:schemeClr val="accent1">
              <a:lumMod val="60000"/>
            </a:schemeClr>
          </a:solidFill>
          <a:ln>
            <a:noFill/>
          </a:ln>
          <a:effectLst/>
        </c:spPr>
      </c:pivotFmt>
      <c:pivotFmt>
        <c:idx val="23"/>
        <c:spPr>
          <a:solidFill>
            <a:schemeClr val="accent2">
              <a:lumMod val="60000"/>
            </a:schemeClr>
          </a:solidFill>
          <a:ln>
            <a:noFill/>
          </a:ln>
          <a:effectLst/>
        </c:spPr>
      </c:pivotFmt>
      <c:pivotFmt>
        <c:idx val="24"/>
        <c:spPr>
          <a:solidFill>
            <a:schemeClr val="accent3">
              <a:lumMod val="60000"/>
            </a:schemeClr>
          </a:solidFill>
          <a:ln>
            <a:noFill/>
          </a:ln>
          <a:effectLst/>
        </c:spPr>
      </c:pivotFmt>
      <c:pivotFmt>
        <c:idx val="25"/>
        <c:spPr>
          <a:solidFill>
            <a:schemeClr val="accent4">
              <a:lumMod val="60000"/>
            </a:schemeClr>
          </a:solidFill>
          <a:ln>
            <a:noFill/>
          </a:ln>
          <a:effectLst/>
        </c:spPr>
      </c:pivotFmt>
      <c:pivotFmt>
        <c:idx val="26"/>
        <c:spPr>
          <a:solidFill>
            <a:schemeClr val="accent5">
              <a:lumMod val="60000"/>
            </a:schemeClr>
          </a:solidFill>
          <a:ln>
            <a:noFill/>
          </a:ln>
          <a:effectLst/>
        </c:spPr>
      </c:pivotFmt>
      <c:pivotFmt>
        <c:idx val="27"/>
        <c:spPr>
          <a:solidFill>
            <a:schemeClr val="accent6">
              <a:lumMod val="60000"/>
            </a:schemeClr>
          </a:solidFill>
          <a:ln>
            <a:noFill/>
          </a:ln>
          <a:effectLst/>
        </c:spPr>
      </c:pivotFmt>
      <c:pivotFmt>
        <c:idx val="28"/>
        <c:spPr>
          <a:solidFill>
            <a:schemeClr val="accent1">
              <a:lumMod val="80000"/>
              <a:lumOff val="20000"/>
            </a:schemeClr>
          </a:solidFill>
          <a:ln>
            <a:noFill/>
          </a:ln>
          <a:effectLst/>
        </c:spPr>
      </c:pivotFmt>
      <c:pivotFmt>
        <c:idx val="29"/>
        <c:spPr>
          <a:solidFill>
            <a:schemeClr val="accent2">
              <a:lumMod val="80000"/>
              <a:lumOff val="20000"/>
            </a:schemeClr>
          </a:solidFill>
          <a:ln>
            <a:noFill/>
          </a:ln>
          <a:effectLst/>
        </c:spPr>
      </c:pivotFmt>
      <c:pivotFmt>
        <c:idx val="30"/>
        <c:spPr>
          <a:solidFill>
            <a:schemeClr val="accent3">
              <a:lumMod val="80000"/>
              <a:lumOff val="20000"/>
            </a:schemeClr>
          </a:solidFill>
          <a:ln>
            <a:noFill/>
          </a:ln>
          <a:effectLst/>
        </c:spPr>
      </c:pivotFmt>
      <c:pivotFmt>
        <c:idx val="31"/>
        <c:spPr>
          <a:solidFill>
            <a:schemeClr val="accent4">
              <a:lumMod val="80000"/>
              <a:lumOff val="20000"/>
            </a:schemeClr>
          </a:solidFill>
          <a:ln>
            <a:noFill/>
          </a:ln>
          <a:effectLst/>
        </c:spPr>
      </c:pivotFmt>
    </c:pivotFmts>
    <c:plotArea>
      <c:layout/>
      <c:barChart>
        <c:barDir val="bar"/>
        <c:grouping val="clustered"/>
        <c:varyColors val="0"/>
        <c:ser>
          <c:idx val="0"/>
          <c:order val="0"/>
          <c:tx>
            <c:strRef>
              <c:f>'Pivot Table'!$B$19:$B$20</c:f>
              <c:strCache>
                <c:ptCount val="1"/>
                <c:pt idx="0">
                  <c:v>FP101</c:v>
                </c:pt>
              </c:strCache>
            </c:strRef>
          </c:tx>
          <c:spPr>
            <a:solidFill>
              <a:schemeClr val="accent1"/>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Table'!$B$21:$B$26</c:f>
              <c:numCache>
                <c:formatCode>General</c:formatCode>
                <c:ptCount val="5"/>
                <c:pt idx="1">
                  <c:v>9</c:v>
                </c:pt>
                <c:pt idx="2">
                  <c:v>36</c:v>
                </c:pt>
                <c:pt idx="3">
                  <c:v>27</c:v>
                </c:pt>
                <c:pt idx="4">
                  <c:v>15</c:v>
                </c:pt>
              </c:numCache>
            </c:numRef>
          </c:val>
          <c:extLst>
            <c:ext xmlns:c16="http://schemas.microsoft.com/office/drawing/2014/chart" uri="{C3380CC4-5D6E-409C-BE32-E72D297353CC}">
              <c16:uniqueId val="{00000000-C3BE-F54C-9F32-146A22076F59}"/>
            </c:ext>
          </c:extLst>
        </c:ser>
        <c:ser>
          <c:idx val="1"/>
          <c:order val="1"/>
          <c:tx>
            <c:strRef>
              <c:f>'Pivot Table'!$C$19:$C$20</c:f>
              <c:strCache>
                <c:ptCount val="1"/>
                <c:pt idx="0">
                  <c:v>FP102</c:v>
                </c:pt>
              </c:strCache>
            </c:strRef>
          </c:tx>
          <c:spPr>
            <a:solidFill>
              <a:schemeClr val="accent2"/>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Table'!$C$21:$C$26</c:f>
              <c:numCache>
                <c:formatCode>General</c:formatCode>
                <c:ptCount val="5"/>
                <c:pt idx="1">
                  <c:v>8</c:v>
                </c:pt>
                <c:pt idx="2">
                  <c:v>11</c:v>
                </c:pt>
                <c:pt idx="3">
                  <c:v>47</c:v>
                </c:pt>
                <c:pt idx="4">
                  <c:v>42</c:v>
                </c:pt>
              </c:numCache>
            </c:numRef>
          </c:val>
          <c:extLst>
            <c:ext xmlns:c16="http://schemas.microsoft.com/office/drawing/2014/chart" uri="{C3380CC4-5D6E-409C-BE32-E72D297353CC}">
              <c16:uniqueId val="{00000001-C3BE-F54C-9F32-146A22076F59}"/>
            </c:ext>
          </c:extLst>
        </c:ser>
        <c:ser>
          <c:idx val="2"/>
          <c:order val="2"/>
          <c:tx>
            <c:strRef>
              <c:f>'Pivot Table'!$D$19:$D$20</c:f>
              <c:strCache>
                <c:ptCount val="1"/>
                <c:pt idx="0">
                  <c:v>FP103</c:v>
                </c:pt>
              </c:strCache>
            </c:strRef>
          </c:tx>
          <c:spPr>
            <a:solidFill>
              <a:schemeClr val="accent3"/>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Table'!$D$21:$D$26</c:f>
              <c:numCache>
                <c:formatCode>General</c:formatCode>
                <c:ptCount val="5"/>
                <c:pt idx="3">
                  <c:v>9</c:v>
                </c:pt>
                <c:pt idx="4">
                  <c:v>17</c:v>
                </c:pt>
              </c:numCache>
            </c:numRef>
          </c:val>
          <c:extLst>
            <c:ext xmlns:c16="http://schemas.microsoft.com/office/drawing/2014/chart" uri="{C3380CC4-5D6E-409C-BE32-E72D297353CC}">
              <c16:uniqueId val="{00000002-C3BE-F54C-9F32-146A22076F59}"/>
            </c:ext>
          </c:extLst>
        </c:ser>
        <c:ser>
          <c:idx val="3"/>
          <c:order val="3"/>
          <c:tx>
            <c:strRef>
              <c:f>'Pivot Table'!$E$19:$E$20</c:f>
              <c:strCache>
                <c:ptCount val="1"/>
                <c:pt idx="0">
                  <c:v>FP104</c:v>
                </c:pt>
              </c:strCache>
            </c:strRef>
          </c:tx>
          <c:spPr>
            <a:solidFill>
              <a:schemeClr val="accent4"/>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Table'!$E$21:$E$26</c:f>
              <c:numCache>
                <c:formatCode>General</c:formatCode>
                <c:ptCount val="5"/>
                <c:pt idx="1">
                  <c:v>51</c:v>
                </c:pt>
                <c:pt idx="2">
                  <c:v>19</c:v>
                </c:pt>
                <c:pt idx="3">
                  <c:v>21</c:v>
                </c:pt>
                <c:pt idx="4">
                  <c:v>33</c:v>
                </c:pt>
              </c:numCache>
            </c:numRef>
          </c:val>
          <c:extLst>
            <c:ext xmlns:c16="http://schemas.microsoft.com/office/drawing/2014/chart" uri="{C3380CC4-5D6E-409C-BE32-E72D297353CC}">
              <c16:uniqueId val="{00000003-C3BE-F54C-9F32-146A22076F59}"/>
            </c:ext>
          </c:extLst>
        </c:ser>
        <c:ser>
          <c:idx val="4"/>
          <c:order val="4"/>
          <c:tx>
            <c:strRef>
              <c:f>'Pivot Table'!$F$19:$F$20</c:f>
              <c:strCache>
                <c:ptCount val="1"/>
                <c:pt idx="0">
                  <c:v>GM101</c:v>
                </c:pt>
              </c:strCache>
            </c:strRef>
          </c:tx>
          <c:spPr>
            <a:solidFill>
              <a:schemeClr val="accent5"/>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Table'!$F$21:$F$26</c:f>
              <c:numCache>
                <c:formatCode>General</c:formatCode>
                <c:ptCount val="5"/>
                <c:pt idx="3">
                  <c:v>16</c:v>
                </c:pt>
                <c:pt idx="4">
                  <c:v>14</c:v>
                </c:pt>
              </c:numCache>
            </c:numRef>
          </c:val>
          <c:extLst>
            <c:ext xmlns:c16="http://schemas.microsoft.com/office/drawing/2014/chart" uri="{C3380CC4-5D6E-409C-BE32-E72D297353CC}">
              <c16:uniqueId val="{00000004-C3BE-F54C-9F32-146A22076F59}"/>
            </c:ext>
          </c:extLst>
        </c:ser>
        <c:ser>
          <c:idx val="5"/>
          <c:order val="5"/>
          <c:tx>
            <c:strRef>
              <c:f>'Pivot Table'!$G$19:$G$20</c:f>
              <c:strCache>
                <c:ptCount val="1"/>
                <c:pt idx="0">
                  <c:v>GM102</c:v>
                </c:pt>
              </c:strCache>
            </c:strRef>
          </c:tx>
          <c:spPr>
            <a:solidFill>
              <a:schemeClr val="accent6"/>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Table'!$G$21:$G$26</c:f>
              <c:numCache>
                <c:formatCode>General</c:formatCode>
                <c:ptCount val="5"/>
                <c:pt idx="2">
                  <c:v>5</c:v>
                </c:pt>
                <c:pt idx="3">
                  <c:v>12</c:v>
                </c:pt>
              </c:numCache>
            </c:numRef>
          </c:val>
          <c:extLst>
            <c:ext xmlns:c16="http://schemas.microsoft.com/office/drawing/2014/chart" uri="{C3380CC4-5D6E-409C-BE32-E72D297353CC}">
              <c16:uniqueId val="{00000005-C3BE-F54C-9F32-146A22076F59}"/>
            </c:ext>
          </c:extLst>
        </c:ser>
        <c:ser>
          <c:idx val="6"/>
          <c:order val="6"/>
          <c:tx>
            <c:strRef>
              <c:f>'Pivot Table'!$H$19:$H$20</c:f>
              <c:strCache>
                <c:ptCount val="1"/>
                <c:pt idx="0">
                  <c:v>GM103</c:v>
                </c:pt>
              </c:strCache>
            </c:strRef>
          </c:tx>
          <c:spPr>
            <a:solidFill>
              <a:schemeClr val="accent1">
                <a:lumMod val="6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Table'!$H$21:$H$26</c:f>
              <c:numCache>
                <c:formatCode>General</c:formatCode>
                <c:ptCount val="5"/>
                <c:pt idx="1">
                  <c:v>26</c:v>
                </c:pt>
                <c:pt idx="2">
                  <c:v>32</c:v>
                </c:pt>
                <c:pt idx="3">
                  <c:v>58</c:v>
                </c:pt>
              </c:numCache>
            </c:numRef>
          </c:val>
          <c:extLst>
            <c:ext xmlns:c16="http://schemas.microsoft.com/office/drawing/2014/chart" uri="{C3380CC4-5D6E-409C-BE32-E72D297353CC}">
              <c16:uniqueId val="{00000006-C3BE-F54C-9F32-146A22076F59}"/>
            </c:ext>
          </c:extLst>
        </c:ser>
        <c:ser>
          <c:idx val="7"/>
          <c:order val="7"/>
          <c:tx>
            <c:strRef>
              <c:f>'Pivot Table'!$I$19:$I$20</c:f>
              <c:strCache>
                <c:ptCount val="1"/>
                <c:pt idx="0">
                  <c:v>GM104</c:v>
                </c:pt>
              </c:strCache>
            </c:strRef>
          </c:tx>
          <c:spPr>
            <a:solidFill>
              <a:schemeClr val="accent2">
                <a:lumMod val="6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Table'!$I$21:$I$26</c:f>
              <c:numCache>
                <c:formatCode>General</c:formatCode>
                <c:ptCount val="5"/>
                <c:pt idx="2">
                  <c:v>7</c:v>
                </c:pt>
                <c:pt idx="3">
                  <c:v>26</c:v>
                </c:pt>
                <c:pt idx="4">
                  <c:v>19</c:v>
                </c:pt>
              </c:numCache>
            </c:numRef>
          </c:val>
          <c:extLst>
            <c:ext xmlns:c16="http://schemas.microsoft.com/office/drawing/2014/chart" uri="{C3380CC4-5D6E-409C-BE32-E72D297353CC}">
              <c16:uniqueId val="{00000007-C3BE-F54C-9F32-146A22076F59}"/>
            </c:ext>
          </c:extLst>
        </c:ser>
        <c:ser>
          <c:idx val="8"/>
          <c:order val="8"/>
          <c:tx>
            <c:strRef>
              <c:f>'Pivot Table'!$J$19:$J$20</c:f>
              <c:strCache>
                <c:ptCount val="1"/>
                <c:pt idx="0">
                  <c:v>NF101</c:v>
                </c:pt>
              </c:strCache>
            </c:strRef>
          </c:tx>
          <c:spPr>
            <a:solidFill>
              <a:schemeClr val="accent3">
                <a:lumMod val="6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Table'!$J$21:$J$26</c:f>
              <c:numCache>
                <c:formatCode>General</c:formatCode>
                <c:ptCount val="5"/>
                <c:pt idx="1">
                  <c:v>29</c:v>
                </c:pt>
                <c:pt idx="2">
                  <c:v>11</c:v>
                </c:pt>
                <c:pt idx="3">
                  <c:v>47</c:v>
                </c:pt>
                <c:pt idx="4">
                  <c:v>22</c:v>
                </c:pt>
              </c:numCache>
            </c:numRef>
          </c:val>
          <c:extLst>
            <c:ext xmlns:c16="http://schemas.microsoft.com/office/drawing/2014/chart" uri="{C3380CC4-5D6E-409C-BE32-E72D297353CC}">
              <c16:uniqueId val="{00000008-C3BE-F54C-9F32-146A22076F59}"/>
            </c:ext>
          </c:extLst>
        </c:ser>
        <c:ser>
          <c:idx val="9"/>
          <c:order val="9"/>
          <c:tx>
            <c:strRef>
              <c:f>'Pivot Table'!$K$19:$K$20</c:f>
              <c:strCache>
                <c:ptCount val="1"/>
                <c:pt idx="0">
                  <c:v>NF102</c:v>
                </c:pt>
              </c:strCache>
            </c:strRef>
          </c:tx>
          <c:spPr>
            <a:solidFill>
              <a:schemeClr val="accent4">
                <a:lumMod val="6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Table'!$K$21:$K$26</c:f>
              <c:numCache>
                <c:formatCode>General</c:formatCode>
                <c:ptCount val="5"/>
                <c:pt idx="1">
                  <c:v>12</c:v>
                </c:pt>
                <c:pt idx="2">
                  <c:v>4</c:v>
                </c:pt>
                <c:pt idx="3">
                  <c:v>11</c:v>
                </c:pt>
                <c:pt idx="4">
                  <c:v>15</c:v>
                </c:pt>
              </c:numCache>
            </c:numRef>
          </c:val>
          <c:extLst>
            <c:ext xmlns:c16="http://schemas.microsoft.com/office/drawing/2014/chart" uri="{C3380CC4-5D6E-409C-BE32-E72D297353CC}">
              <c16:uniqueId val="{00000009-C3BE-F54C-9F32-146A22076F59}"/>
            </c:ext>
          </c:extLst>
        </c:ser>
        <c:ser>
          <c:idx val="10"/>
          <c:order val="10"/>
          <c:tx>
            <c:strRef>
              <c:f>'Pivot Table'!$L$19:$L$20</c:f>
              <c:strCache>
                <c:ptCount val="1"/>
                <c:pt idx="0">
                  <c:v>NF103</c:v>
                </c:pt>
              </c:strCache>
            </c:strRef>
          </c:tx>
          <c:spPr>
            <a:solidFill>
              <a:schemeClr val="accent5">
                <a:lumMod val="6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Table'!$L$21:$L$26</c:f>
              <c:numCache>
                <c:formatCode>General</c:formatCode>
                <c:ptCount val="5"/>
                <c:pt idx="2">
                  <c:v>9</c:v>
                </c:pt>
                <c:pt idx="3">
                  <c:v>19</c:v>
                </c:pt>
                <c:pt idx="4">
                  <c:v>6</c:v>
                </c:pt>
              </c:numCache>
            </c:numRef>
          </c:val>
          <c:extLst>
            <c:ext xmlns:c16="http://schemas.microsoft.com/office/drawing/2014/chart" uri="{C3380CC4-5D6E-409C-BE32-E72D297353CC}">
              <c16:uniqueId val="{0000000A-C3BE-F54C-9F32-146A22076F59}"/>
            </c:ext>
          </c:extLst>
        </c:ser>
        <c:ser>
          <c:idx val="11"/>
          <c:order val="11"/>
          <c:tx>
            <c:strRef>
              <c:f>'Pivot Table'!$M$19:$M$20</c:f>
              <c:strCache>
                <c:ptCount val="1"/>
                <c:pt idx="0">
                  <c:v>NF104</c:v>
                </c:pt>
              </c:strCache>
            </c:strRef>
          </c:tx>
          <c:spPr>
            <a:solidFill>
              <a:schemeClr val="accent6">
                <a:lumMod val="6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Table'!$M$21:$M$26</c:f>
              <c:numCache>
                <c:formatCode>General</c:formatCode>
                <c:ptCount val="5"/>
                <c:pt idx="1">
                  <c:v>37</c:v>
                </c:pt>
                <c:pt idx="2">
                  <c:v>14</c:v>
                </c:pt>
                <c:pt idx="3">
                  <c:v>46</c:v>
                </c:pt>
                <c:pt idx="4">
                  <c:v>17</c:v>
                </c:pt>
              </c:numCache>
            </c:numRef>
          </c:val>
          <c:extLst>
            <c:ext xmlns:c16="http://schemas.microsoft.com/office/drawing/2014/chart" uri="{C3380CC4-5D6E-409C-BE32-E72D297353CC}">
              <c16:uniqueId val="{0000000B-C3BE-F54C-9F32-146A22076F59}"/>
            </c:ext>
          </c:extLst>
        </c:ser>
        <c:ser>
          <c:idx val="12"/>
          <c:order val="12"/>
          <c:tx>
            <c:strRef>
              <c:f>'Pivot Table'!$N$19:$N$20</c:f>
              <c:strCache>
                <c:ptCount val="1"/>
                <c:pt idx="0">
                  <c:v>PB101</c:v>
                </c:pt>
              </c:strCache>
            </c:strRef>
          </c:tx>
          <c:spPr>
            <a:solidFill>
              <a:schemeClr val="accent1">
                <a:lumMod val="80000"/>
                <a:lumOff val="2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Table'!$N$21:$N$26</c:f>
              <c:numCache>
                <c:formatCode>General</c:formatCode>
                <c:ptCount val="5"/>
                <c:pt idx="2">
                  <c:v>31</c:v>
                </c:pt>
                <c:pt idx="3">
                  <c:v>2</c:v>
                </c:pt>
                <c:pt idx="4">
                  <c:v>11</c:v>
                </c:pt>
              </c:numCache>
            </c:numRef>
          </c:val>
          <c:extLst>
            <c:ext xmlns:c16="http://schemas.microsoft.com/office/drawing/2014/chart" uri="{C3380CC4-5D6E-409C-BE32-E72D297353CC}">
              <c16:uniqueId val="{0000000C-C3BE-F54C-9F32-146A22076F59}"/>
            </c:ext>
          </c:extLst>
        </c:ser>
        <c:ser>
          <c:idx val="13"/>
          <c:order val="13"/>
          <c:tx>
            <c:strRef>
              <c:f>'Pivot Table'!$O$19:$O$20</c:f>
              <c:strCache>
                <c:ptCount val="1"/>
                <c:pt idx="0">
                  <c:v>PB102</c:v>
                </c:pt>
              </c:strCache>
            </c:strRef>
          </c:tx>
          <c:spPr>
            <a:solidFill>
              <a:schemeClr val="accent2">
                <a:lumMod val="80000"/>
                <a:lumOff val="2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Table'!$O$21:$O$26</c:f>
              <c:numCache>
                <c:formatCode>General</c:formatCode>
                <c:ptCount val="5"/>
                <c:pt idx="1">
                  <c:v>16</c:v>
                </c:pt>
                <c:pt idx="2">
                  <c:v>17</c:v>
                </c:pt>
                <c:pt idx="3">
                  <c:v>63</c:v>
                </c:pt>
              </c:numCache>
            </c:numRef>
          </c:val>
          <c:extLst>
            <c:ext xmlns:c16="http://schemas.microsoft.com/office/drawing/2014/chart" uri="{C3380CC4-5D6E-409C-BE32-E72D297353CC}">
              <c16:uniqueId val="{0000000D-C3BE-F54C-9F32-146A22076F59}"/>
            </c:ext>
          </c:extLst>
        </c:ser>
        <c:ser>
          <c:idx val="14"/>
          <c:order val="14"/>
          <c:tx>
            <c:strRef>
              <c:f>'Pivot Table'!$P$19:$P$20</c:f>
              <c:strCache>
                <c:ptCount val="1"/>
                <c:pt idx="0">
                  <c:v>PB103</c:v>
                </c:pt>
              </c:strCache>
            </c:strRef>
          </c:tx>
          <c:spPr>
            <a:solidFill>
              <a:schemeClr val="accent3">
                <a:lumMod val="80000"/>
                <a:lumOff val="2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Table'!$P$21:$P$26</c:f>
              <c:numCache>
                <c:formatCode>General</c:formatCode>
                <c:ptCount val="5"/>
                <c:pt idx="0">
                  <c:v>8</c:v>
                </c:pt>
                <c:pt idx="2">
                  <c:v>5</c:v>
                </c:pt>
                <c:pt idx="3">
                  <c:v>19</c:v>
                </c:pt>
                <c:pt idx="4">
                  <c:v>28</c:v>
                </c:pt>
              </c:numCache>
            </c:numRef>
          </c:val>
          <c:extLst>
            <c:ext xmlns:c16="http://schemas.microsoft.com/office/drawing/2014/chart" uri="{C3380CC4-5D6E-409C-BE32-E72D297353CC}">
              <c16:uniqueId val="{0000000E-C3BE-F54C-9F32-146A22076F59}"/>
            </c:ext>
          </c:extLst>
        </c:ser>
        <c:ser>
          <c:idx val="15"/>
          <c:order val="15"/>
          <c:tx>
            <c:strRef>
              <c:f>'Pivot Table'!$Q$19:$Q$20</c:f>
              <c:strCache>
                <c:ptCount val="1"/>
                <c:pt idx="0">
                  <c:v>PB104</c:v>
                </c:pt>
              </c:strCache>
            </c:strRef>
          </c:tx>
          <c:spPr>
            <a:solidFill>
              <a:schemeClr val="accent4">
                <a:lumMod val="80000"/>
                <a:lumOff val="20000"/>
              </a:schemeClr>
            </a:solidFill>
            <a:ln>
              <a:noFill/>
            </a:ln>
            <a:effectLst/>
          </c:spPr>
          <c:invertIfNegative val="0"/>
          <c:cat>
            <c:strRef>
              <c:f>'Pivot Table'!$A$21:$A$26</c:f>
              <c:strCache>
                <c:ptCount val="5"/>
                <c:pt idx="0">
                  <c:v>Bandung</c:v>
                </c:pt>
                <c:pt idx="1">
                  <c:v>Bekasi</c:v>
                </c:pt>
                <c:pt idx="2">
                  <c:v>Bogor</c:v>
                </c:pt>
                <c:pt idx="3">
                  <c:v>Jakarta</c:v>
                </c:pt>
                <c:pt idx="4">
                  <c:v>Tangerang</c:v>
                </c:pt>
              </c:strCache>
            </c:strRef>
          </c:cat>
          <c:val>
            <c:numRef>
              <c:f>'Pivot Table'!$Q$21:$Q$26</c:f>
              <c:numCache>
                <c:formatCode>General</c:formatCode>
                <c:ptCount val="5"/>
                <c:pt idx="2">
                  <c:v>23</c:v>
                </c:pt>
                <c:pt idx="3">
                  <c:v>4</c:v>
                </c:pt>
                <c:pt idx="4">
                  <c:v>14</c:v>
                </c:pt>
              </c:numCache>
            </c:numRef>
          </c:val>
          <c:extLst>
            <c:ext xmlns:c16="http://schemas.microsoft.com/office/drawing/2014/chart" uri="{C3380CC4-5D6E-409C-BE32-E72D297353CC}">
              <c16:uniqueId val="{00000021-C3BE-F54C-9F32-146A22076F59}"/>
            </c:ext>
          </c:extLst>
        </c:ser>
        <c:dLbls>
          <c:showLegendKey val="0"/>
          <c:showVal val="0"/>
          <c:showCatName val="0"/>
          <c:showSerName val="0"/>
          <c:showPercent val="0"/>
          <c:showBubbleSize val="0"/>
        </c:dLbls>
        <c:gapWidth val="75"/>
        <c:overlap val="-25"/>
        <c:axId val="560526416"/>
        <c:axId val="560528128"/>
      </c:barChart>
      <c:catAx>
        <c:axId val="56052641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60528128"/>
        <c:crosses val="autoZero"/>
        <c:auto val="1"/>
        <c:lblAlgn val="ctr"/>
        <c:lblOffset val="100"/>
        <c:noMultiLvlLbl val="0"/>
      </c:catAx>
      <c:valAx>
        <c:axId val="56052812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052641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Case.xlsx]Pivot Table!PivotTable9</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kern="1200" cap="none" spc="0" normalizeH="0" baseline="0">
                <a:solidFill>
                  <a:schemeClr val="tx1"/>
                </a:solidFill>
              </a:rPr>
              <a:t>Rata-Rata Harga Per item Berdasarkan Nama Produk dan Membership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4"/>
        <c:spPr>
          <a:ln w="22225" cap="rnd">
            <a:solidFill>
              <a:schemeClr val="accent2"/>
            </a:solidFill>
            <a:round/>
          </a:ln>
          <a:effectLst/>
        </c:spPr>
        <c:marker>
          <c:symbol val="circle"/>
          <c:size val="6"/>
          <c:spPr>
            <a:solidFill>
              <a:schemeClr val="lt1"/>
            </a:solidFill>
            <a:ln w="15875">
              <a:solidFill>
                <a:schemeClr val="accent2"/>
              </a:solidFill>
              <a:round/>
            </a:ln>
            <a:effectLst/>
          </c:spPr>
        </c:marker>
      </c:pivotFmt>
      <c:pivotFmt>
        <c:idx val="5"/>
        <c:spPr>
          <a:ln w="22225" cap="rnd">
            <a:solidFill>
              <a:schemeClr val="accent3"/>
            </a:solidFill>
            <a:round/>
          </a:ln>
          <a:effectLst/>
        </c:spPr>
        <c:marker>
          <c:symbol val="circle"/>
          <c:size val="6"/>
          <c:spPr>
            <a:solidFill>
              <a:schemeClr val="lt1"/>
            </a:solidFill>
            <a:ln w="15875">
              <a:solidFill>
                <a:schemeClr val="accent3"/>
              </a:solidFill>
              <a:round/>
            </a:ln>
            <a:effectLst/>
          </c:spPr>
        </c:marker>
      </c:pivotFmt>
    </c:pivotFmts>
    <c:plotArea>
      <c:layout/>
      <c:lineChart>
        <c:grouping val="standard"/>
        <c:varyColors val="0"/>
        <c:ser>
          <c:idx val="0"/>
          <c:order val="0"/>
          <c:tx>
            <c:strRef>
              <c:f>'Pivot Table'!$B$34:$B$35</c:f>
              <c:strCache>
                <c:ptCount val="1"/>
                <c:pt idx="0">
                  <c:v>Gold</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Table'!$A$36:$A$65</c:f>
              <c:strCache>
                <c:ptCount val="29"/>
                <c:pt idx="0">
                  <c:v>Apparel, towel and underwear</c:v>
                </c:pt>
                <c:pt idx="1">
                  <c:v>Baby milk &amp; food</c:v>
                </c:pt>
                <c:pt idx="2">
                  <c:v>Baby need</c:v>
                </c:pt>
                <c:pt idx="3">
                  <c:v>Battery, film, electrical &amp; lamp</c:v>
                </c:pt>
                <c:pt idx="4">
                  <c:v>Beverage</c:v>
                </c:pt>
                <c:pt idx="5">
                  <c:v>Cake &amp; bread</c:v>
                </c:pt>
                <c:pt idx="6">
                  <c:v>Cake mix</c:v>
                </c:pt>
                <c:pt idx="7">
                  <c:v>Canned Food &amp; dried meat</c:v>
                </c:pt>
                <c:pt idx="8">
                  <c:v>Chilled &amp; frozen product</c:v>
                </c:pt>
                <c:pt idx="9">
                  <c:v>Cigarette &amp; lighter</c:v>
                </c:pt>
                <c:pt idx="10">
                  <c:v>Comb, accessories &amp; footwear</c:v>
                </c:pt>
                <c:pt idx="11">
                  <c:v>Confectionary, candy &amp; chocolate</c:v>
                </c:pt>
                <c:pt idx="12">
                  <c:v>Diet &amp; Diabeter foods</c:v>
                </c:pt>
                <c:pt idx="13">
                  <c:v>Eggs</c:v>
                </c:pt>
                <c:pt idx="14">
                  <c:v>Fruit</c:v>
                </c:pt>
                <c:pt idx="15">
                  <c:v>Honey, jam, cereal and cheese</c:v>
                </c:pt>
                <c:pt idx="16">
                  <c:v>House hold</c:v>
                </c:pt>
                <c:pt idx="17">
                  <c:v>Housewares &amp; party need</c:v>
                </c:pt>
                <c:pt idx="18">
                  <c:v>Instant Noodle &amp; Food</c:v>
                </c:pt>
                <c:pt idx="19">
                  <c:v>Medicine</c:v>
                </c:pt>
                <c:pt idx="20">
                  <c:v>Milk</c:v>
                </c:pt>
                <c:pt idx="21">
                  <c:v>Offce supplier &amp; stationery</c:v>
                </c:pt>
                <c:pt idx="22">
                  <c:v>Oral hygiene</c:v>
                </c:pt>
                <c:pt idx="23">
                  <c:v>Paper goods</c:v>
                </c:pt>
                <c:pt idx="24">
                  <c:v>Personal care</c:v>
                </c:pt>
                <c:pt idx="25">
                  <c:v>Snack &amp; Candy </c:v>
                </c:pt>
                <c:pt idx="26">
                  <c:v>Snack, biscuit &amp; ready to eat</c:v>
                </c:pt>
                <c:pt idx="27">
                  <c:v>Spices, soya, sauce and ingredient</c:v>
                </c:pt>
                <c:pt idx="28">
                  <c:v>Tea, coffee and creamer</c:v>
                </c:pt>
              </c:strCache>
            </c:strRef>
          </c:cat>
          <c:val>
            <c:numRef>
              <c:f>'Pivot Table'!$B$36:$B$65</c:f>
              <c:numCache>
                <c:formatCode>_("IDR"* #,##0_);_("IDR"* \(#,##0\);_("IDR"* "-"_);_(@_)</c:formatCode>
                <c:ptCount val="29"/>
                <c:pt idx="0">
                  <c:v>75000</c:v>
                </c:pt>
                <c:pt idx="2">
                  <c:v>195000</c:v>
                </c:pt>
                <c:pt idx="3">
                  <c:v>85000</c:v>
                </c:pt>
                <c:pt idx="4">
                  <c:v>75000</c:v>
                </c:pt>
                <c:pt idx="5">
                  <c:v>49999</c:v>
                </c:pt>
                <c:pt idx="6">
                  <c:v>125000</c:v>
                </c:pt>
                <c:pt idx="7">
                  <c:v>90000</c:v>
                </c:pt>
                <c:pt idx="8">
                  <c:v>69999</c:v>
                </c:pt>
                <c:pt idx="10">
                  <c:v>55500</c:v>
                </c:pt>
                <c:pt idx="11">
                  <c:v>65000</c:v>
                </c:pt>
                <c:pt idx="12">
                  <c:v>85000</c:v>
                </c:pt>
                <c:pt idx="13">
                  <c:v>25500</c:v>
                </c:pt>
                <c:pt idx="14">
                  <c:v>89999</c:v>
                </c:pt>
                <c:pt idx="15">
                  <c:v>155000</c:v>
                </c:pt>
                <c:pt idx="16">
                  <c:v>225000</c:v>
                </c:pt>
                <c:pt idx="17">
                  <c:v>110500</c:v>
                </c:pt>
                <c:pt idx="19">
                  <c:v>185000</c:v>
                </c:pt>
                <c:pt idx="20">
                  <c:v>70000</c:v>
                </c:pt>
                <c:pt idx="21">
                  <c:v>135500</c:v>
                </c:pt>
                <c:pt idx="22">
                  <c:v>115000</c:v>
                </c:pt>
                <c:pt idx="23">
                  <c:v>45500</c:v>
                </c:pt>
                <c:pt idx="24">
                  <c:v>85500</c:v>
                </c:pt>
                <c:pt idx="25">
                  <c:v>45555</c:v>
                </c:pt>
                <c:pt idx="26">
                  <c:v>55000</c:v>
                </c:pt>
                <c:pt idx="27">
                  <c:v>95000</c:v>
                </c:pt>
                <c:pt idx="28">
                  <c:v>120000</c:v>
                </c:pt>
              </c:numCache>
            </c:numRef>
          </c:val>
          <c:smooth val="0"/>
          <c:extLst>
            <c:ext xmlns:c16="http://schemas.microsoft.com/office/drawing/2014/chart" uri="{C3380CC4-5D6E-409C-BE32-E72D297353CC}">
              <c16:uniqueId val="{00000000-38D5-5B42-9226-6801FA2A2D83}"/>
            </c:ext>
          </c:extLst>
        </c:ser>
        <c:ser>
          <c:idx val="1"/>
          <c:order val="1"/>
          <c:tx>
            <c:strRef>
              <c:f>'Pivot Table'!$C$34:$C$35</c:f>
              <c:strCache>
                <c:ptCount val="1"/>
                <c:pt idx="0">
                  <c:v>Platinum</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Table'!$A$36:$A$65</c:f>
              <c:strCache>
                <c:ptCount val="29"/>
                <c:pt idx="0">
                  <c:v>Apparel, towel and underwear</c:v>
                </c:pt>
                <c:pt idx="1">
                  <c:v>Baby milk &amp; food</c:v>
                </c:pt>
                <c:pt idx="2">
                  <c:v>Baby need</c:v>
                </c:pt>
                <c:pt idx="3">
                  <c:v>Battery, film, electrical &amp; lamp</c:v>
                </c:pt>
                <c:pt idx="4">
                  <c:v>Beverage</c:v>
                </c:pt>
                <c:pt idx="5">
                  <c:v>Cake &amp; bread</c:v>
                </c:pt>
                <c:pt idx="6">
                  <c:v>Cake mix</c:v>
                </c:pt>
                <c:pt idx="7">
                  <c:v>Canned Food &amp; dried meat</c:v>
                </c:pt>
                <c:pt idx="8">
                  <c:v>Chilled &amp; frozen product</c:v>
                </c:pt>
                <c:pt idx="9">
                  <c:v>Cigarette &amp; lighter</c:v>
                </c:pt>
                <c:pt idx="10">
                  <c:v>Comb, accessories &amp; footwear</c:v>
                </c:pt>
                <c:pt idx="11">
                  <c:v>Confectionary, candy &amp; chocolate</c:v>
                </c:pt>
                <c:pt idx="12">
                  <c:v>Diet &amp; Diabeter foods</c:v>
                </c:pt>
                <c:pt idx="13">
                  <c:v>Eggs</c:v>
                </c:pt>
                <c:pt idx="14">
                  <c:v>Fruit</c:v>
                </c:pt>
                <c:pt idx="15">
                  <c:v>Honey, jam, cereal and cheese</c:v>
                </c:pt>
                <c:pt idx="16">
                  <c:v>House hold</c:v>
                </c:pt>
                <c:pt idx="17">
                  <c:v>Housewares &amp; party need</c:v>
                </c:pt>
                <c:pt idx="18">
                  <c:v>Instant Noodle &amp; Food</c:v>
                </c:pt>
                <c:pt idx="19">
                  <c:v>Medicine</c:v>
                </c:pt>
                <c:pt idx="20">
                  <c:v>Milk</c:v>
                </c:pt>
                <c:pt idx="21">
                  <c:v>Offce supplier &amp; stationery</c:v>
                </c:pt>
                <c:pt idx="22">
                  <c:v>Oral hygiene</c:v>
                </c:pt>
                <c:pt idx="23">
                  <c:v>Paper goods</c:v>
                </c:pt>
                <c:pt idx="24">
                  <c:v>Personal care</c:v>
                </c:pt>
                <c:pt idx="25">
                  <c:v>Snack &amp; Candy </c:v>
                </c:pt>
                <c:pt idx="26">
                  <c:v>Snack, biscuit &amp; ready to eat</c:v>
                </c:pt>
                <c:pt idx="27">
                  <c:v>Spices, soya, sauce and ingredient</c:v>
                </c:pt>
                <c:pt idx="28">
                  <c:v>Tea, coffee and creamer</c:v>
                </c:pt>
              </c:strCache>
            </c:strRef>
          </c:cat>
          <c:val>
            <c:numRef>
              <c:f>'Pivot Table'!$C$36:$C$65</c:f>
              <c:numCache>
                <c:formatCode>_("IDR"* #,##0_);_("IDR"* \(#,##0\);_("IDR"* "-"_);_(@_)</c:formatCode>
                <c:ptCount val="29"/>
                <c:pt idx="0">
                  <c:v>75000</c:v>
                </c:pt>
                <c:pt idx="1">
                  <c:v>175000</c:v>
                </c:pt>
                <c:pt idx="2">
                  <c:v>195000</c:v>
                </c:pt>
                <c:pt idx="3">
                  <c:v>85000</c:v>
                </c:pt>
                <c:pt idx="4">
                  <c:v>75000</c:v>
                </c:pt>
                <c:pt idx="5">
                  <c:v>49999</c:v>
                </c:pt>
                <c:pt idx="8">
                  <c:v>69999</c:v>
                </c:pt>
                <c:pt idx="9">
                  <c:v>170000</c:v>
                </c:pt>
                <c:pt idx="13">
                  <c:v>25500</c:v>
                </c:pt>
                <c:pt idx="14">
                  <c:v>89999</c:v>
                </c:pt>
                <c:pt idx="16">
                  <c:v>225000</c:v>
                </c:pt>
                <c:pt idx="17">
                  <c:v>110500</c:v>
                </c:pt>
                <c:pt idx="21">
                  <c:v>135500</c:v>
                </c:pt>
                <c:pt idx="22">
                  <c:v>115000</c:v>
                </c:pt>
                <c:pt idx="23">
                  <c:v>45500</c:v>
                </c:pt>
                <c:pt idx="24">
                  <c:v>85500</c:v>
                </c:pt>
                <c:pt idx="26">
                  <c:v>55000</c:v>
                </c:pt>
              </c:numCache>
            </c:numRef>
          </c:val>
          <c:smooth val="0"/>
          <c:extLst>
            <c:ext xmlns:c16="http://schemas.microsoft.com/office/drawing/2014/chart" uri="{C3380CC4-5D6E-409C-BE32-E72D297353CC}">
              <c16:uniqueId val="{00000001-38D5-5B42-9226-6801FA2A2D83}"/>
            </c:ext>
          </c:extLst>
        </c:ser>
        <c:ser>
          <c:idx val="2"/>
          <c:order val="2"/>
          <c:tx>
            <c:strRef>
              <c:f>'Pivot Table'!$D$34:$D$35</c:f>
              <c:strCache>
                <c:ptCount val="1"/>
                <c:pt idx="0">
                  <c:v>Silver</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Table'!$A$36:$A$65</c:f>
              <c:strCache>
                <c:ptCount val="29"/>
                <c:pt idx="0">
                  <c:v>Apparel, towel and underwear</c:v>
                </c:pt>
                <c:pt idx="1">
                  <c:v>Baby milk &amp; food</c:v>
                </c:pt>
                <c:pt idx="2">
                  <c:v>Baby need</c:v>
                </c:pt>
                <c:pt idx="3">
                  <c:v>Battery, film, electrical &amp; lamp</c:v>
                </c:pt>
                <c:pt idx="4">
                  <c:v>Beverage</c:v>
                </c:pt>
                <c:pt idx="5">
                  <c:v>Cake &amp; bread</c:v>
                </c:pt>
                <c:pt idx="6">
                  <c:v>Cake mix</c:v>
                </c:pt>
                <c:pt idx="7">
                  <c:v>Canned Food &amp; dried meat</c:v>
                </c:pt>
                <c:pt idx="8">
                  <c:v>Chilled &amp; frozen product</c:v>
                </c:pt>
                <c:pt idx="9">
                  <c:v>Cigarette &amp; lighter</c:v>
                </c:pt>
                <c:pt idx="10">
                  <c:v>Comb, accessories &amp; footwear</c:v>
                </c:pt>
                <c:pt idx="11">
                  <c:v>Confectionary, candy &amp; chocolate</c:v>
                </c:pt>
                <c:pt idx="12">
                  <c:v>Diet &amp; Diabeter foods</c:v>
                </c:pt>
                <c:pt idx="13">
                  <c:v>Eggs</c:v>
                </c:pt>
                <c:pt idx="14">
                  <c:v>Fruit</c:v>
                </c:pt>
                <c:pt idx="15">
                  <c:v>Honey, jam, cereal and cheese</c:v>
                </c:pt>
                <c:pt idx="16">
                  <c:v>House hold</c:v>
                </c:pt>
                <c:pt idx="17">
                  <c:v>Housewares &amp; party need</c:v>
                </c:pt>
                <c:pt idx="18">
                  <c:v>Instant Noodle &amp; Food</c:v>
                </c:pt>
                <c:pt idx="19">
                  <c:v>Medicine</c:v>
                </c:pt>
                <c:pt idx="20">
                  <c:v>Milk</c:v>
                </c:pt>
                <c:pt idx="21">
                  <c:v>Offce supplier &amp; stationery</c:v>
                </c:pt>
                <c:pt idx="22">
                  <c:v>Oral hygiene</c:v>
                </c:pt>
                <c:pt idx="23">
                  <c:v>Paper goods</c:v>
                </c:pt>
                <c:pt idx="24">
                  <c:v>Personal care</c:v>
                </c:pt>
                <c:pt idx="25">
                  <c:v>Snack &amp; Candy </c:v>
                </c:pt>
                <c:pt idx="26">
                  <c:v>Snack, biscuit &amp; ready to eat</c:v>
                </c:pt>
                <c:pt idx="27">
                  <c:v>Spices, soya, sauce and ingredient</c:v>
                </c:pt>
                <c:pt idx="28">
                  <c:v>Tea, coffee and creamer</c:v>
                </c:pt>
              </c:strCache>
            </c:strRef>
          </c:cat>
          <c:val>
            <c:numRef>
              <c:f>'Pivot Table'!$D$36:$D$65</c:f>
              <c:numCache>
                <c:formatCode>_("IDR"* #,##0_);_("IDR"* \(#,##0\);_("IDR"* "-"_);_(@_)</c:formatCode>
                <c:ptCount val="29"/>
                <c:pt idx="2">
                  <c:v>195000</c:v>
                </c:pt>
                <c:pt idx="3">
                  <c:v>85000</c:v>
                </c:pt>
                <c:pt idx="4">
                  <c:v>75000</c:v>
                </c:pt>
                <c:pt idx="5">
                  <c:v>49999</c:v>
                </c:pt>
                <c:pt idx="11">
                  <c:v>65000</c:v>
                </c:pt>
                <c:pt idx="13">
                  <c:v>25500</c:v>
                </c:pt>
                <c:pt idx="14">
                  <c:v>89999</c:v>
                </c:pt>
                <c:pt idx="16">
                  <c:v>225000</c:v>
                </c:pt>
                <c:pt idx="18">
                  <c:v>85000</c:v>
                </c:pt>
                <c:pt idx="22">
                  <c:v>115000</c:v>
                </c:pt>
                <c:pt idx="23">
                  <c:v>45500</c:v>
                </c:pt>
                <c:pt idx="24">
                  <c:v>85500</c:v>
                </c:pt>
                <c:pt idx="25">
                  <c:v>45555</c:v>
                </c:pt>
                <c:pt idx="26">
                  <c:v>55000</c:v>
                </c:pt>
                <c:pt idx="27">
                  <c:v>95000</c:v>
                </c:pt>
                <c:pt idx="28">
                  <c:v>120000</c:v>
                </c:pt>
              </c:numCache>
            </c:numRef>
          </c:val>
          <c:smooth val="0"/>
          <c:extLst>
            <c:ext xmlns:c16="http://schemas.microsoft.com/office/drawing/2014/chart" uri="{C3380CC4-5D6E-409C-BE32-E72D297353CC}">
              <c16:uniqueId val="{00000002-38D5-5B42-9226-6801FA2A2D83}"/>
            </c:ext>
          </c:extLst>
        </c:ser>
        <c:dLbls>
          <c:showLegendKey val="0"/>
          <c:showVal val="1"/>
          <c:showCatName val="0"/>
          <c:showSerName val="0"/>
          <c:showPercent val="0"/>
          <c:showBubbleSize val="0"/>
        </c:dLbls>
        <c:marker val="1"/>
        <c:smooth val="0"/>
        <c:axId val="603562832"/>
        <c:axId val="603564544"/>
      </c:lineChart>
      <c:catAx>
        <c:axId val="6035628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603564544"/>
        <c:crosses val="autoZero"/>
        <c:auto val="1"/>
        <c:lblAlgn val="ctr"/>
        <c:lblOffset val="100"/>
        <c:noMultiLvlLbl val="0"/>
      </c:catAx>
      <c:valAx>
        <c:axId val="603564544"/>
        <c:scaling>
          <c:orientation val="minMax"/>
        </c:scaling>
        <c:delete val="0"/>
        <c:axPos val="l"/>
        <c:majorGridlines>
          <c:spPr>
            <a:ln w="9525" cap="flat" cmpd="sng" algn="ctr">
              <a:solidFill>
                <a:schemeClr val="dk1">
                  <a:lumMod val="15000"/>
                  <a:lumOff val="85000"/>
                </a:schemeClr>
              </a:solidFill>
              <a:round/>
            </a:ln>
            <a:effectLst/>
          </c:spPr>
        </c:majorGridlines>
        <c:numFmt formatCode="_(&quot;IDR&quot;* #,##0_);_(&quot;IDR&quot;* \(#,##0\);_(&quot;ID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0356283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Case.xlsx]Pivot Table!PivotTable10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Pengguna (Membership) Berdasarkan Gender dan Domisili</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1"/>
          <c:showBubbleSize val="0"/>
          <c:extLst>
            <c:ext xmlns:c15="http://schemas.microsoft.com/office/drawing/2012/chart" uri="{CE6537A1-D6FC-4f65-9D91-7224C49458BB}"/>
          </c:extLst>
        </c:dLbl>
      </c:pivotFmt>
      <c:pivotFmt>
        <c:idx val="18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Table'!$B$69:$B$70</c:f>
              <c:strCache>
                <c:ptCount val="1"/>
                <c:pt idx="0">
                  <c:v>F</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433-7542-97ED-560D7BC088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433-7542-97ED-560D7BC088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433-7542-97ED-560D7BC088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433-7542-97ED-560D7BC0885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433-7542-97ED-560D7BC088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Table'!$A$71:$A$76</c:f>
              <c:strCache>
                <c:ptCount val="5"/>
                <c:pt idx="0">
                  <c:v>Bandung</c:v>
                </c:pt>
                <c:pt idx="1">
                  <c:v>Bekasi</c:v>
                </c:pt>
                <c:pt idx="2">
                  <c:v>Bogor</c:v>
                </c:pt>
                <c:pt idx="3">
                  <c:v>Jakarta</c:v>
                </c:pt>
                <c:pt idx="4">
                  <c:v>Tangerang</c:v>
                </c:pt>
              </c:strCache>
            </c:strRef>
          </c:cat>
          <c:val>
            <c:numRef>
              <c:f>'Pivot Table'!$B$71:$B$76</c:f>
              <c:numCache>
                <c:formatCode>General</c:formatCode>
                <c:ptCount val="5"/>
                <c:pt idx="0">
                  <c:v>1</c:v>
                </c:pt>
                <c:pt idx="1">
                  <c:v>17</c:v>
                </c:pt>
                <c:pt idx="2">
                  <c:v>25</c:v>
                </c:pt>
                <c:pt idx="3">
                  <c:v>41</c:v>
                </c:pt>
                <c:pt idx="4">
                  <c:v>25</c:v>
                </c:pt>
              </c:numCache>
            </c:numRef>
          </c:val>
          <c:extLst>
            <c:ext xmlns:c16="http://schemas.microsoft.com/office/drawing/2014/chart" uri="{C3380CC4-5D6E-409C-BE32-E72D297353CC}">
              <c16:uniqueId val="{00000000-84BD-EB4C-BA4E-E89352BCC694}"/>
            </c:ext>
          </c:extLst>
        </c:ser>
        <c:ser>
          <c:idx val="1"/>
          <c:order val="1"/>
          <c:tx>
            <c:strRef>
              <c:f>'Pivot Table'!$C$69:$C$70</c:f>
              <c:strCache>
                <c:ptCount val="1"/>
                <c:pt idx="0">
                  <c:v>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433-7542-97ED-560D7BC088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433-7542-97ED-560D7BC088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433-7542-97ED-560D7BC088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433-7542-97ED-560D7BC0885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433-7542-97ED-560D7BC088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Table'!$A$71:$A$76</c:f>
              <c:strCache>
                <c:ptCount val="5"/>
                <c:pt idx="0">
                  <c:v>Bandung</c:v>
                </c:pt>
                <c:pt idx="1">
                  <c:v>Bekasi</c:v>
                </c:pt>
                <c:pt idx="2">
                  <c:v>Bogor</c:v>
                </c:pt>
                <c:pt idx="3">
                  <c:v>Jakarta</c:v>
                </c:pt>
                <c:pt idx="4">
                  <c:v>Tangerang</c:v>
                </c:pt>
              </c:strCache>
            </c:strRef>
          </c:cat>
          <c:val>
            <c:numRef>
              <c:f>'Pivot Table'!$C$71:$C$76</c:f>
              <c:numCache>
                <c:formatCode>General</c:formatCode>
                <c:ptCount val="5"/>
                <c:pt idx="1">
                  <c:v>13</c:v>
                </c:pt>
                <c:pt idx="2">
                  <c:v>14</c:v>
                </c:pt>
                <c:pt idx="3">
                  <c:v>31</c:v>
                </c:pt>
                <c:pt idx="4">
                  <c:v>13</c:v>
                </c:pt>
              </c:numCache>
            </c:numRef>
          </c:val>
          <c:extLst>
            <c:ext xmlns:c16="http://schemas.microsoft.com/office/drawing/2014/chart" uri="{C3380CC4-5D6E-409C-BE32-E72D297353CC}">
              <c16:uniqueId val="{000002C7-84BD-EB4C-BA4E-E89352BCC6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588034</xdr:colOff>
      <xdr:row>1</xdr:row>
      <xdr:rowOff>198697</xdr:rowOff>
    </xdr:from>
    <xdr:to>
      <xdr:col>14</xdr:col>
      <xdr:colOff>79719</xdr:colOff>
      <xdr:row>10</xdr:row>
      <xdr:rowOff>112059</xdr:rowOff>
    </xdr:to>
    <mc:AlternateContent xmlns:mc="http://schemas.openxmlformats.org/markup-compatibility/2006" xmlns:a14="http://schemas.microsoft.com/office/drawing/2010/main">
      <mc:Choice Requires="a14">
        <xdr:graphicFrame macro="">
          <xdr:nvGraphicFramePr>
            <xdr:cNvPr id="12" name="Domicile">
              <a:extLst>
                <a:ext uri="{FF2B5EF4-FFF2-40B4-BE49-F238E27FC236}">
                  <a16:creationId xmlns:a16="http://schemas.microsoft.com/office/drawing/2014/main" id="{B7EEDB99-6AAA-AE92-6B8E-F18349E3BECE}"/>
                </a:ext>
              </a:extLst>
            </xdr:cNvPr>
            <xdr:cNvGraphicFramePr/>
          </xdr:nvGraphicFramePr>
          <xdr:xfrm>
            <a:off x="0" y="0"/>
            <a:ext cx="0" cy="0"/>
          </xdr:xfrm>
          <a:graphic>
            <a:graphicData uri="http://schemas.microsoft.com/office/drawing/2010/slicer">
              <sle:slicer xmlns:sle="http://schemas.microsoft.com/office/drawing/2010/slicer" name="Domicile"/>
            </a:graphicData>
          </a:graphic>
        </xdr:graphicFrame>
      </mc:Choice>
      <mc:Fallback xmlns="">
        <xdr:sp macro="" textlink="">
          <xdr:nvSpPr>
            <xdr:cNvPr id="0" name=""/>
            <xdr:cNvSpPr>
              <a:spLocks noTextEdit="1"/>
            </xdr:cNvSpPr>
          </xdr:nvSpPr>
          <xdr:spPr>
            <a:xfrm>
              <a:off x="12984822" y="397135"/>
              <a:ext cx="1739585" cy="1699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1158965</xdr:colOff>
      <xdr:row>2</xdr:row>
      <xdr:rowOff>2232</xdr:rowOff>
    </xdr:from>
    <xdr:to>
      <xdr:col>10</xdr:col>
      <xdr:colOff>106370</xdr:colOff>
      <xdr:row>9</xdr:row>
      <xdr:rowOff>55193</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5098910F-EC68-224A-091C-FFFBD9B21B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80790" y="399107"/>
              <a:ext cx="1847768" cy="144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21167</xdr:colOff>
      <xdr:row>1</xdr:row>
      <xdr:rowOff>50799</xdr:rowOff>
    </xdr:from>
    <xdr:to>
      <xdr:col>27</xdr:col>
      <xdr:colOff>558801</xdr:colOff>
      <xdr:row>21</xdr:row>
      <xdr:rowOff>66841</xdr:rowOff>
    </xdr:to>
    <xdr:graphicFrame macro="">
      <xdr:nvGraphicFramePr>
        <xdr:cNvPr id="14" name="Chart 13">
          <a:extLst>
            <a:ext uri="{FF2B5EF4-FFF2-40B4-BE49-F238E27FC236}">
              <a16:creationId xmlns:a16="http://schemas.microsoft.com/office/drawing/2014/main" id="{01D2B93E-0656-E71A-AF9F-F6BA85DB5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63500</xdr:colOff>
      <xdr:row>23</xdr:row>
      <xdr:rowOff>45322</xdr:rowOff>
    </xdr:from>
    <xdr:to>
      <xdr:col>27</xdr:col>
      <xdr:colOff>597647</xdr:colOff>
      <xdr:row>54</xdr:row>
      <xdr:rowOff>0</xdr:rowOff>
    </xdr:to>
    <xdr:graphicFrame macro="">
      <xdr:nvGraphicFramePr>
        <xdr:cNvPr id="15" name="Chart 14">
          <a:extLst>
            <a:ext uri="{FF2B5EF4-FFF2-40B4-BE49-F238E27FC236}">
              <a16:creationId xmlns:a16="http://schemas.microsoft.com/office/drawing/2014/main" id="{2B1B5E52-316F-B906-5CD6-0D697828F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61896</xdr:colOff>
      <xdr:row>56</xdr:row>
      <xdr:rowOff>3753</xdr:rowOff>
    </xdr:from>
    <xdr:to>
      <xdr:col>27</xdr:col>
      <xdr:colOff>579299</xdr:colOff>
      <xdr:row>85</xdr:row>
      <xdr:rowOff>101601</xdr:rowOff>
    </xdr:to>
    <xdr:graphicFrame macro="">
      <xdr:nvGraphicFramePr>
        <xdr:cNvPr id="16" name="Chart 15">
          <a:extLst>
            <a:ext uri="{FF2B5EF4-FFF2-40B4-BE49-F238E27FC236}">
              <a16:creationId xmlns:a16="http://schemas.microsoft.com/office/drawing/2014/main" id="{44E47AEB-465A-5E96-B74D-1A736B840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135466</xdr:colOff>
      <xdr:row>87</xdr:row>
      <xdr:rowOff>9358</xdr:rowOff>
    </xdr:from>
    <xdr:to>
      <xdr:col>27</xdr:col>
      <xdr:colOff>592667</xdr:colOff>
      <xdr:row>111</xdr:row>
      <xdr:rowOff>0</xdr:rowOff>
    </xdr:to>
    <xdr:graphicFrame macro="">
      <xdr:nvGraphicFramePr>
        <xdr:cNvPr id="17" name="Chart 16">
          <a:extLst>
            <a:ext uri="{FF2B5EF4-FFF2-40B4-BE49-F238E27FC236}">
              <a16:creationId xmlns:a16="http://schemas.microsoft.com/office/drawing/2014/main" id="{55A7F27F-30D7-1124-5BBE-740F253E5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20917</xdr:colOff>
      <xdr:row>10</xdr:row>
      <xdr:rowOff>17931</xdr:rowOff>
    </xdr:from>
    <xdr:to>
      <xdr:col>10</xdr:col>
      <xdr:colOff>95463</xdr:colOff>
      <xdr:row>14</xdr:row>
      <xdr:rowOff>74708</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81A8E234-343F-3F36-8045-6382BD3835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96855" y="2002306"/>
              <a:ext cx="1820796" cy="850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09.833168055557" createdVersion="8" refreshedVersion="8" minRefreshableVersion="3" recordCount="182" xr:uid="{F1F3D6AF-8809-324C-B6EC-E38E3BD167FA}">
  <cacheSource type="worksheet">
    <worksheetSource ref="A3:O185" sheet="Master (Filled)"/>
  </cacheSource>
  <cacheFields count="15">
    <cacheField name="No" numFmtId="0">
      <sharedItems containsString="0" containsBlank="1" containsNumber="1" containsInteger="1" minValue="1" maxValue="180"/>
    </cacheField>
    <cacheField name="Input Date" numFmtId="0">
      <sharedItems containsNonDate="0" containsDate="1" containsString="0" containsBlank="1" minDate="2023-02-02T00:00:00" maxDate="2023-03-06T00:00:00" count="33">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m/>
      </sharedItems>
    </cacheField>
    <cacheField name="Customer Name" numFmtId="0">
      <sharedItems containsBlank="1" count="181">
        <s v="Sean Laura Edelyn"/>
        <s v="Jennifer Savira "/>
        <s v="Raissa Zeviw"/>
        <s v="Nadia Sarah Jayadi"/>
        <s v="Michael Harvey Tan"/>
        <s v="Andreas Wijaya Lukita"/>
        <s v="Widya Michael Sofiany"/>
        <s v="Selena Swift Widodo"/>
        <s v="Putri Selena Utama"/>
        <s v="Harry Anderson"/>
        <s v="Jimmy Michael Peter"/>
        <s v="Sammy Hutagalung"/>
        <s v="Andin Dini Kusuma"/>
        <s v="Metha Viviane"/>
        <s v="Justin Alfredo"/>
        <s v="Nicholas Agustino "/>
        <s v="Chalvin Peterman"/>
        <s v="Felicia Widyotama"/>
        <s v="Michael Anderson"/>
        <s v="Agustino Cristianaldo"/>
        <s v="Aldo Alex Kusuma"/>
        <s v="Idris Jamaluddin"/>
        <s v="Irfan Haikal Fikri"/>
        <s v="Hamdani Ainun Kosasih"/>
        <s v="Haris Luthfi Yahya"/>
        <s v="Abimanyu Abbas Hardim"/>
        <s v="Sri Ratih Indah"/>
        <s v="Adeline Diany Putri"/>
        <s v="Lady Marcia Anne"/>
        <s v="Retno Tika Utami"/>
        <s v="Marcella Beverly Park Eun"/>
        <s v="Lestari Suci Endang Kusuma"/>
        <s v="Meghan Catrine Witney"/>
        <s v="Marieh Houston Stevenly"/>
        <s v="James Leonard"/>
        <s v="Ben Bastian Budi"/>
        <s v="Bayu Muhammad Rinaldy"/>
        <s v="Rivaldo Dimas Bagus"/>
        <s v="Chika Amelia Putri"/>
        <s v="Nadya Amelia Dewi Kusuma"/>
        <s v="Raissa Februariana"/>
        <s v="Annisa Fajar Utama "/>
        <s v="Hadi Kusumaningrum"/>
        <s v="Wulandari Septiansyah"/>
        <s v="Esmeralda Tika Kusuma"/>
        <s v="Tristan Toni Tobing"/>
        <s v="Salsa Hasanuddin Kusomo"/>
        <s v="Samuel Andreas Michael"/>
        <s v="Paul Scott Anderson"/>
        <s v="Vinny Cynthia Lpusina"/>
        <s v="Philip Edward Martin"/>
        <s v="Sari Siregar Verianty"/>
        <s v="Vanessa Elmatiana Putri"/>
        <s v="George David Suhendy"/>
        <s v="Emanuella Julia Bebena"/>
        <s v="Shanti Natalia April"/>
        <s v="Sandra Putri Marselyna"/>
        <s v="Abdul Salim Goddard"/>
        <s v="Elma Mawar Lalita"/>
        <s v="Vidy Verania Yusman"/>
        <s v="Wishu Agus Ryan"/>
        <s v="Samimora Aurora Putri"/>
        <s v="Isabella Christina Sihombing"/>
        <s v="Johanes Matius Benardy"/>
        <s v="Maria Angel Shandi"/>
        <s v="Pieters Mike Colbie"/>
        <s v="Emily Olivia Eva"/>
        <s v="Sophina Stevanie Lily"/>
        <s v="Oiiver Jackson Issander"/>
        <s v="Joshua Muhammad Noah"/>
        <s v="Charles Jacob William"/>
        <s v="Lily Peony Isabella"/>
        <s v="Marry Christine Chloe"/>
        <s v="Rossa Setiana Dewi"/>
        <s v="Ellea Lyra Tia"/>
        <s v="Robbinson Ignatius Gary"/>
        <s v="Greek Philip Yordan"/>
        <s v="Sofia Belvaria Sirajuddin"/>
        <s v="Christiana Lady Diana"/>
        <s v="Elisabeth Christy Dian"/>
        <s v="Aaron Carlos"/>
        <s v="Diandra Citranti Deva"/>
        <s v="Edison Edelard Ronaldus"/>
        <s v="Clarabella Marcia Maisieany"/>
        <s v="Donelia Deva Sashikirana"/>
        <s v="Edison Aderlard Wijaya"/>
        <s v="Elden Alcane"/>
        <s v="Eileen Audrey Avisa"/>
        <s v="Farrah Fillia Bernardina "/>
        <s v="Gamaliel Angelo"/>
        <s v="Jeanella Yachne Seera"/>
        <s v="Myesha Zuhaira"/>
        <s v="Quenna Zaafarana Zaviera"/>
        <s v="Raphael Agustin"/>
        <s v="Meinanda Aqila"/>
        <s v="Nathaniel Agam Bonjabi"/>
        <s v="Adi Kusuma Adisucipto"/>
        <s v="Beverly Benardette"/>
        <s v="Gracia Marcialiana"/>
        <s v="Vanilla Vanessa Adyana"/>
        <s v="Sandra Dewi Munadi"/>
        <s v="Angela Lay"/>
        <s v="Xyavenna Aphrodite"/>
        <s v="Kevin Kim"/>
        <s v="Thomas Kim "/>
        <s v="Chase Lee"/>
        <s v="Gregorius Naldo"/>
        <s v="Zahra Fairuznisa"/>
        <s v="Zulfa Rufaida"/>
        <s v="Mark Lee"/>
        <s v="Hendery Xiao"/>
        <s v="Natalie Angelique"/>
        <s v="Cannelle Lounge"/>
        <s v="Sunny Anne"/>
        <s v="Freya Grizelle"/>
        <s v="Iva Jovanka"/>
        <s v="Jovita Kyra"/>
        <s v="Kirana  Meise"/>
        <s v="Joy Zeline"/>
        <s v="Jovanka Lovata"/>
        <s v="Rosaline Luna"/>
        <s v="Arina Clarissa"/>
        <s v="Deolinda Elvina"/>
        <s v="Johannes Liam"/>
        <s v="Jonathan Mason"/>
        <s v="Chelsea Wang"/>
        <s v="Santiago Wesley"/>
        <s v="Cornelia Francisca"/>
        <s v="Acacia Pearly"/>
        <s v="Brandon Damian"/>
        <s v="Daenerys Targaryen"/>
        <s v="Aiden Kim"/>
        <s v="Jesper Park"/>
        <s v="Paul Colin"/>
        <s v="Lilac Levina"/>
        <s v="Agatha Vanda"/>
        <s v="Nash Ace"/>
        <s v="Lane Anderson"/>
        <s v="Emilia Alice"/>
        <s v="Cora Serenity"/>
        <s v="Nova Clara"/>
        <s v="Julius Daxton"/>
        <s v="Emery Jade"/>
        <s v="Amy Teagen"/>
        <s v="Dakota Jaxton"/>
        <s v="Laila Velerine"/>
        <s v="Seth Donovan"/>
        <s v="Naomi Scott"/>
        <s v="Nikki Leona"/>
        <s v="Taeyong Lee"/>
        <s v="Adora Suvviana"/>
        <s v="Jasmine Hara"/>
        <s v="Sirena Meise"/>
        <s v="Louise Adrivianne"/>
        <s v="Aquaviviane Naine"/>
        <s v="Key Kim"/>
        <s v="Vivianna Garcons"/>
        <s v="Hazel Claire"/>
        <s v="Joseph Carter"/>
        <s v="Dylan Luke"/>
        <s v="Ashley Greyson"/>
        <s v="Ruby Willow"/>
        <s v="Aubree Vivian"/>
        <s v="Reese Paige"/>
        <s v="Evan Maverick"/>
        <s v="Aleyna Camelia"/>
        <s v="Marcus Mrooklyn"/>
        <s v="Irene Lee"/>
        <s v="Natasha Febrianti"/>
        <s v="Angelique Nicole"/>
        <s v="Reynadya Farissa"/>
        <s v="Jennie Kim"/>
        <s v="Johnny Seo"/>
        <s v="Alexander Lee"/>
        <s v="Cherrys Yohana"/>
        <s v="Roseanne Park"/>
        <s v="Rosi Tampubolon"/>
        <s v="Dhika Arisno"/>
        <s v="Anastasia Belinda"/>
        <s v="Milaney Wangsa Widyatama"/>
        <m/>
      </sharedItems>
    </cacheField>
    <cacheField name="Gender" numFmtId="0">
      <sharedItems containsBlank="1" count="3">
        <s v="F"/>
        <s v="M"/>
        <m/>
      </sharedItems>
    </cacheField>
    <cacheField name="Domicile" numFmtId="0">
      <sharedItems containsBlank="1" count="6">
        <s v="Jakarta"/>
        <s v="Bogor"/>
        <s v="Bandung"/>
        <s v="Tangerang"/>
        <s v="Bekasi"/>
        <m/>
      </sharedItems>
    </cacheField>
    <cacheField name="Member Code" numFmtId="0">
      <sharedItems containsBlank="1"/>
    </cacheField>
    <cacheField name="Product ID" numFmtId="0">
      <sharedItems containsBlank="1" count="17">
        <s v="PB103"/>
        <s v="PB101"/>
        <s v="PB102"/>
        <s v="NF104"/>
        <s v="NF101"/>
        <s v="NF102"/>
        <s v="FP101"/>
        <s v="FP102"/>
        <s v="FP104"/>
        <s v="GM104"/>
        <s v="GM103"/>
        <s v="GM102"/>
        <s v="GM101"/>
        <s v="FP103"/>
        <s v="NF103"/>
        <s v="PB104"/>
        <m/>
      </sharedItems>
    </cacheField>
    <cacheField name="Category" numFmtId="0">
      <sharedItems containsBlank="1" count="5">
        <s v="Perishable"/>
        <s v="Non Food Product"/>
        <s v="Food Product"/>
        <s v="General Merchandise Product"/>
        <m/>
      </sharedItems>
    </cacheField>
    <cacheField name="Name of Product" numFmtId="0">
      <sharedItems containsBlank="1" count="30">
        <s v="Cake &amp; bread"/>
        <s v="Chilled &amp; frozen product"/>
        <s v="Eggs"/>
        <s v="Baby need"/>
        <s v="Personal care"/>
        <s v="Instant Noodle &amp; Food"/>
        <s v="Apparel, towel and underwear"/>
        <s v="Battery, film, electrical &amp; lamp"/>
        <s v="Housewares &amp; party need"/>
        <s v="Offce supplier &amp; stationery"/>
        <s v="Comb, accessories &amp; footwear"/>
        <s v="Diet &amp; Diabeter foods"/>
        <s v="Honey, jam, cereal and cheese"/>
        <s v="Snack, biscuit &amp; ready to eat"/>
        <s v="Medicine"/>
        <s v="Cigarette &amp; lighter"/>
        <s v="House hold"/>
        <s v="Paper goods"/>
        <s v="Snack &amp; Candy "/>
        <s v="Fruit"/>
        <s v="Baby milk &amp; food"/>
        <s v="Confectionary, candy &amp; chocolate"/>
        <s v="Canned Food &amp; dried meat"/>
        <s v="Spices, soya, sauce and ingredient"/>
        <s v="Oral hygiene"/>
        <s v="Cake mix"/>
        <s v="Milk"/>
        <s v="Beverage"/>
        <s v="Tea, coffee and creamer"/>
        <m/>
      </sharedItems>
    </cacheField>
    <cacheField name="Barcode" numFmtId="0">
      <sharedItems containsBlank="1" count="5">
        <s v="Platinum"/>
        <s v="Gold"/>
        <s v="Silver"/>
        <s v="Total Quantity"/>
        <m/>
      </sharedItems>
    </cacheField>
    <cacheField name="Quantity " numFmtId="0">
      <sharedItems containsString="0" containsBlank="1" containsNumber="1" containsInteger="1" minValue="2" maxValue="1100"/>
    </cacheField>
    <cacheField name=" Price item " numFmtId="164">
      <sharedItems containsString="0" containsBlank="1" containsNumber="1" containsInteger="1" minValue="25500" maxValue="225000"/>
    </cacheField>
    <cacheField name="Tax" numFmtId="0">
      <sharedItems containsString="0" containsBlank="1" containsNumber="1" minValue="0.02" maxValue="0.03"/>
    </cacheField>
    <cacheField name="Member Point" numFmtId="0">
      <sharedItems/>
    </cacheField>
    <cacheField name="Total Payment" numFmtId="164">
      <sharedItems containsSemiMixedTypes="0" containsString="0" containsNumber="1" minValue="50490" maxValue="104827888.20999999"/>
    </cacheField>
  </cacheFields>
  <extLst>
    <ext xmlns:x14="http://schemas.microsoft.com/office/spreadsheetml/2009/9/main" uri="{725AE2AE-9491-48be-B2B4-4EB974FC3084}">
      <x14:pivotCacheDefinition pivotCacheId="1675292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n v="1"/>
    <x v="0"/>
    <x v="0"/>
    <x v="0"/>
    <x v="0"/>
    <s v="P1114"/>
    <x v="0"/>
    <x v="0"/>
    <x v="0"/>
    <x v="0"/>
    <n v="5"/>
    <n v="49999"/>
    <n v="0.02"/>
    <s v="20 Point"/>
    <n v="248995.02"/>
  </r>
  <r>
    <n v="2"/>
    <x v="0"/>
    <x v="1"/>
    <x v="0"/>
    <x v="1"/>
    <s v="P1214"/>
    <x v="1"/>
    <x v="0"/>
    <x v="1"/>
    <x v="0"/>
    <n v="8"/>
    <n v="69999"/>
    <n v="0.02"/>
    <s v="20 Point"/>
    <n v="558592.02"/>
  </r>
  <r>
    <n v="3"/>
    <x v="0"/>
    <x v="2"/>
    <x v="0"/>
    <x v="2"/>
    <s v="P1414"/>
    <x v="0"/>
    <x v="0"/>
    <x v="0"/>
    <x v="0"/>
    <n v="8"/>
    <n v="49999"/>
    <n v="0.02"/>
    <s v="20 Point"/>
    <n v="398992.02"/>
  </r>
  <r>
    <n v="4"/>
    <x v="0"/>
    <x v="3"/>
    <x v="0"/>
    <x v="1"/>
    <s v="G1111"/>
    <x v="2"/>
    <x v="0"/>
    <x v="2"/>
    <x v="1"/>
    <n v="2"/>
    <n v="25500"/>
    <n v="0.02"/>
    <s v="5 Point"/>
    <n v="50490"/>
  </r>
  <r>
    <n v="5"/>
    <x v="0"/>
    <x v="4"/>
    <x v="1"/>
    <x v="0"/>
    <s v="G1412"/>
    <x v="3"/>
    <x v="1"/>
    <x v="3"/>
    <x v="1"/>
    <n v="2"/>
    <n v="195000"/>
    <n v="0.02"/>
    <s v="10 Point"/>
    <n v="386100"/>
  </r>
  <r>
    <n v="6"/>
    <x v="0"/>
    <x v="5"/>
    <x v="1"/>
    <x v="0"/>
    <s v="G1411"/>
    <x v="4"/>
    <x v="1"/>
    <x v="4"/>
    <x v="1"/>
    <n v="2"/>
    <n v="85500"/>
    <n v="0.02"/>
    <s v="5 Point"/>
    <n v="169290"/>
  </r>
  <r>
    <n v="7"/>
    <x v="0"/>
    <x v="6"/>
    <x v="0"/>
    <x v="0"/>
    <s v="G1413"/>
    <x v="4"/>
    <x v="1"/>
    <x v="4"/>
    <x v="1"/>
    <n v="3"/>
    <n v="85500"/>
    <n v="0.02"/>
    <s v="15 Point"/>
    <n v="254790"/>
  </r>
  <r>
    <n v="8"/>
    <x v="1"/>
    <x v="7"/>
    <x v="0"/>
    <x v="0"/>
    <s v="S1113"/>
    <x v="5"/>
    <x v="1"/>
    <x v="3"/>
    <x v="2"/>
    <n v="4"/>
    <n v="195000"/>
    <n v="0.02"/>
    <s v="15 Point"/>
    <n v="776100"/>
  </r>
  <r>
    <n v="9"/>
    <x v="1"/>
    <x v="8"/>
    <x v="0"/>
    <x v="3"/>
    <s v="S1111"/>
    <x v="3"/>
    <x v="1"/>
    <x v="3"/>
    <x v="2"/>
    <n v="4"/>
    <n v="195000"/>
    <n v="0.02"/>
    <s v="5 Point"/>
    <n v="776100"/>
  </r>
  <r>
    <n v="10"/>
    <x v="1"/>
    <x v="9"/>
    <x v="1"/>
    <x v="1"/>
    <s v="S1314"/>
    <x v="6"/>
    <x v="2"/>
    <x v="5"/>
    <x v="2"/>
    <n v="2"/>
    <n v="85000"/>
    <n v="0.02"/>
    <s v="20 Point"/>
    <n v="168300"/>
  </r>
  <r>
    <n v="11"/>
    <x v="1"/>
    <x v="10"/>
    <x v="1"/>
    <x v="1"/>
    <s v="S1611"/>
    <x v="7"/>
    <x v="2"/>
    <x v="5"/>
    <x v="2"/>
    <n v="3"/>
    <n v="85000"/>
    <n v="0.02"/>
    <s v="5 Point"/>
    <n v="253300"/>
  </r>
  <r>
    <n v="12"/>
    <x v="1"/>
    <x v="11"/>
    <x v="1"/>
    <x v="3"/>
    <s v="S1512"/>
    <x v="8"/>
    <x v="2"/>
    <x v="5"/>
    <x v="2"/>
    <n v="2"/>
    <n v="85000"/>
    <n v="0.02"/>
    <s v="10 Point"/>
    <n v="168300"/>
  </r>
  <r>
    <n v="13"/>
    <x v="1"/>
    <x v="12"/>
    <x v="0"/>
    <x v="0"/>
    <s v="G1111"/>
    <x v="9"/>
    <x v="3"/>
    <x v="6"/>
    <x v="1"/>
    <n v="2"/>
    <n v="75000"/>
    <n v="0.02"/>
    <s v="5 Point"/>
    <n v="148500"/>
  </r>
  <r>
    <n v="14"/>
    <x v="1"/>
    <x v="13"/>
    <x v="0"/>
    <x v="0"/>
    <s v="G1411"/>
    <x v="9"/>
    <x v="3"/>
    <x v="7"/>
    <x v="1"/>
    <n v="3"/>
    <n v="85000"/>
    <n v="0.02"/>
    <s v="5 Point"/>
    <n v="253300"/>
  </r>
  <r>
    <n v="15"/>
    <x v="1"/>
    <x v="14"/>
    <x v="1"/>
    <x v="0"/>
    <s v="G1312"/>
    <x v="10"/>
    <x v="3"/>
    <x v="7"/>
    <x v="1"/>
    <n v="3"/>
    <n v="85000"/>
    <n v="0.02"/>
    <s v="10 Point"/>
    <n v="253300"/>
  </r>
  <r>
    <n v="16"/>
    <x v="1"/>
    <x v="15"/>
    <x v="1"/>
    <x v="0"/>
    <s v="G1313"/>
    <x v="10"/>
    <x v="3"/>
    <x v="7"/>
    <x v="1"/>
    <n v="7"/>
    <n v="85000"/>
    <n v="0.02"/>
    <s v="15 Point"/>
    <n v="593300"/>
  </r>
  <r>
    <n v="17"/>
    <x v="1"/>
    <x v="16"/>
    <x v="1"/>
    <x v="0"/>
    <s v="G1311"/>
    <x v="10"/>
    <x v="3"/>
    <x v="8"/>
    <x v="1"/>
    <n v="8"/>
    <n v="110500"/>
    <n v="0.02"/>
    <s v="5 Point"/>
    <n v="881790"/>
  </r>
  <r>
    <n v="18"/>
    <x v="2"/>
    <x v="17"/>
    <x v="0"/>
    <x v="0"/>
    <s v="P1115"/>
    <x v="10"/>
    <x v="3"/>
    <x v="6"/>
    <x v="0"/>
    <n v="12"/>
    <n v="75000"/>
    <n v="0.03"/>
    <s v="25 Point"/>
    <n v="897750"/>
  </r>
  <r>
    <n v="19"/>
    <x v="2"/>
    <x v="18"/>
    <x v="1"/>
    <x v="0"/>
    <s v="P1415"/>
    <x v="11"/>
    <x v="3"/>
    <x v="9"/>
    <x v="0"/>
    <n v="12"/>
    <n v="135500"/>
    <n v="0.03"/>
    <s v="25 Point"/>
    <n v="1621935"/>
  </r>
  <r>
    <n v="20"/>
    <x v="2"/>
    <x v="19"/>
    <x v="1"/>
    <x v="0"/>
    <s v="G1111"/>
    <x v="12"/>
    <x v="3"/>
    <x v="9"/>
    <x v="1"/>
    <n v="11"/>
    <n v="135500"/>
    <n v="0.03"/>
    <s v="5 Point"/>
    <n v="1486435"/>
  </r>
  <r>
    <n v="21"/>
    <x v="3"/>
    <x v="20"/>
    <x v="1"/>
    <x v="0"/>
    <s v="G1115"/>
    <x v="9"/>
    <x v="3"/>
    <x v="10"/>
    <x v="1"/>
    <n v="9"/>
    <n v="55500"/>
    <n v="0.03"/>
    <s v="25 Point"/>
    <n v="497835"/>
  </r>
  <r>
    <n v="22"/>
    <x v="3"/>
    <x v="21"/>
    <x v="1"/>
    <x v="3"/>
    <s v="G1115"/>
    <x v="8"/>
    <x v="2"/>
    <x v="11"/>
    <x v="1"/>
    <n v="9"/>
    <n v="85000"/>
    <n v="0.03"/>
    <s v="25 Point"/>
    <n v="762450"/>
  </r>
  <r>
    <n v="23"/>
    <x v="3"/>
    <x v="22"/>
    <x v="1"/>
    <x v="3"/>
    <s v="G1415"/>
    <x v="13"/>
    <x v="2"/>
    <x v="12"/>
    <x v="1"/>
    <n v="5"/>
    <n v="155000"/>
    <n v="0.02"/>
    <s v="25 Point"/>
    <n v="771900"/>
  </r>
  <r>
    <n v="24"/>
    <x v="3"/>
    <x v="23"/>
    <x v="0"/>
    <x v="0"/>
    <s v="G1612"/>
    <x v="7"/>
    <x v="2"/>
    <x v="13"/>
    <x v="1"/>
    <n v="4"/>
    <n v="55000"/>
    <n v="0.02"/>
    <s v="10 Point"/>
    <n v="218900"/>
  </r>
  <r>
    <n v="25"/>
    <x v="3"/>
    <x v="24"/>
    <x v="1"/>
    <x v="0"/>
    <s v="G1212"/>
    <x v="7"/>
    <x v="2"/>
    <x v="12"/>
    <x v="1"/>
    <n v="3"/>
    <n v="155000"/>
    <n v="0.02"/>
    <s v="10 Point"/>
    <n v="461900"/>
  </r>
  <r>
    <n v="26"/>
    <x v="3"/>
    <x v="25"/>
    <x v="1"/>
    <x v="0"/>
    <s v="G1213"/>
    <x v="7"/>
    <x v="2"/>
    <x v="13"/>
    <x v="1"/>
    <n v="2"/>
    <n v="55000"/>
    <n v="0.02"/>
    <s v="15 Point"/>
    <n v="108900"/>
  </r>
  <r>
    <n v="27"/>
    <x v="3"/>
    <x v="26"/>
    <x v="0"/>
    <x v="0"/>
    <s v="G1215"/>
    <x v="6"/>
    <x v="2"/>
    <x v="14"/>
    <x v="1"/>
    <n v="3"/>
    <n v="185000"/>
    <n v="0.02"/>
    <s v="25 Point"/>
    <n v="551300"/>
  </r>
  <r>
    <n v="28"/>
    <x v="3"/>
    <x v="27"/>
    <x v="0"/>
    <x v="0"/>
    <s v="P1214"/>
    <x v="6"/>
    <x v="2"/>
    <x v="15"/>
    <x v="0"/>
    <n v="3"/>
    <n v="170000"/>
    <n v="0.02"/>
    <s v="20 Point"/>
    <n v="506600"/>
  </r>
  <r>
    <n v="29"/>
    <x v="3"/>
    <x v="28"/>
    <x v="0"/>
    <x v="0"/>
    <s v="P1414"/>
    <x v="14"/>
    <x v="1"/>
    <x v="16"/>
    <x v="0"/>
    <n v="3"/>
    <n v="225000"/>
    <n v="0.02"/>
    <s v="20 Point"/>
    <n v="670500"/>
  </r>
  <r>
    <n v="30"/>
    <x v="3"/>
    <x v="29"/>
    <x v="0"/>
    <x v="3"/>
    <s v="G1111"/>
    <x v="14"/>
    <x v="1"/>
    <x v="17"/>
    <x v="1"/>
    <n v="2"/>
    <n v="45500"/>
    <n v="0.02"/>
    <s v="5 Point"/>
    <n v="90090"/>
  </r>
  <r>
    <n v="31"/>
    <x v="3"/>
    <x v="30"/>
    <x v="0"/>
    <x v="1"/>
    <s v="G1412"/>
    <x v="4"/>
    <x v="1"/>
    <x v="16"/>
    <x v="1"/>
    <n v="2"/>
    <n v="225000"/>
    <n v="0.02"/>
    <s v="10 Point"/>
    <n v="445500"/>
  </r>
  <r>
    <n v="32"/>
    <x v="3"/>
    <x v="31"/>
    <x v="0"/>
    <x v="1"/>
    <s v="G1411"/>
    <x v="5"/>
    <x v="1"/>
    <x v="17"/>
    <x v="1"/>
    <n v="4"/>
    <n v="45500"/>
    <n v="0.02"/>
    <s v="5 Point"/>
    <n v="181090"/>
  </r>
  <r>
    <n v="33"/>
    <x v="3"/>
    <x v="32"/>
    <x v="0"/>
    <x v="1"/>
    <s v="G1413"/>
    <x v="15"/>
    <x v="0"/>
    <x v="18"/>
    <x v="1"/>
    <n v="4"/>
    <n v="45555"/>
    <n v="0.02"/>
    <s v="15 Point"/>
    <n v="181308.9"/>
  </r>
  <r>
    <n v="34"/>
    <x v="3"/>
    <x v="33"/>
    <x v="0"/>
    <x v="1"/>
    <s v="S1113"/>
    <x v="15"/>
    <x v="0"/>
    <x v="2"/>
    <x v="2"/>
    <n v="5"/>
    <n v="25500"/>
    <n v="0.02"/>
    <s v="15 Point"/>
    <n v="126990"/>
  </r>
  <r>
    <n v="35"/>
    <x v="3"/>
    <x v="34"/>
    <x v="1"/>
    <x v="1"/>
    <s v="S1111"/>
    <x v="0"/>
    <x v="0"/>
    <x v="2"/>
    <x v="2"/>
    <n v="5"/>
    <n v="25500"/>
    <n v="0.02"/>
    <s v="5 Point"/>
    <n v="126990"/>
  </r>
  <r>
    <n v="36"/>
    <x v="3"/>
    <x v="35"/>
    <x v="1"/>
    <x v="1"/>
    <s v="S1314"/>
    <x v="1"/>
    <x v="0"/>
    <x v="19"/>
    <x v="2"/>
    <n v="7"/>
    <n v="89999"/>
    <n v="0.02"/>
    <s v="20 Point"/>
    <n v="628193.02"/>
  </r>
  <r>
    <n v="37"/>
    <x v="4"/>
    <x v="36"/>
    <x v="1"/>
    <x v="1"/>
    <s v="S1611"/>
    <x v="1"/>
    <x v="0"/>
    <x v="19"/>
    <x v="2"/>
    <n v="8"/>
    <n v="89999"/>
    <n v="0.02"/>
    <s v="5 Point"/>
    <n v="718192.02"/>
  </r>
  <r>
    <n v="38"/>
    <x v="4"/>
    <x v="37"/>
    <x v="1"/>
    <x v="1"/>
    <s v="P1115"/>
    <x v="1"/>
    <x v="0"/>
    <x v="19"/>
    <x v="0"/>
    <n v="8"/>
    <n v="89999"/>
    <n v="0.02"/>
    <s v="25 Point"/>
    <n v="718192.02"/>
  </r>
  <r>
    <n v="39"/>
    <x v="4"/>
    <x v="38"/>
    <x v="0"/>
    <x v="1"/>
    <s v="S1611"/>
    <x v="15"/>
    <x v="0"/>
    <x v="2"/>
    <x v="2"/>
    <n v="7"/>
    <n v="25500"/>
    <n v="0.02"/>
    <s v="5 Point"/>
    <n v="177990"/>
  </r>
  <r>
    <n v="40"/>
    <x v="4"/>
    <x v="39"/>
    <x v="0"/>
    <x v="1"/>
    <s v="P1115"/>
    <x v="15"/>
    <x v="0"/>
    <x v="2"/>
    <x v="0"/>
    <n v="7"/>
    <n v="25500"/>
    <n v="0.02"/>
    <s v="25 Point"/>
    <n v="177990"/>
  </r>
  <r>
    <n v="41"/>
    <x v="4"/>
    <x v="40"/>
    <x v="0"/>
    <x v="3"/>
    <s v="P1415"/>
    <x v="0"/>
    <x v="0"/>
    <x v="2"/>
    <x v="0"/>
    <n v="5"/>
    <n v="25500"/>
    <n v="0.02"/>
    <s v="25 Point"/>
    <n v="126990"/>
  </r>
  <r>
    <n v="42"/>
    <x v="4"/>
    <x v="41"/>
    <x v="0"/>
    <x v="3"/>
    <s v="P1115"/>
    <x v="0"/>
    <x v="0"/>
    <x v="2"/>
    <x v="0"/>
    <n v="4"/>
    <n v="25500"/>
    <n v="0.02"/>
    <s v="25 Point"/>
    <n v="101490"/>
  </r>
  <r>
    <n v="43"/>
    <x v="5"/>
    <x v="42"/>
    <x v="1"/>
    <x v="3"/>
    <s v="P1415"/>
    <x v="12"/>
    <x v="3"/>
    <x v="8"/>
    <x v="0"/>
    <n v="6"/>
    <n v="110500"/>
    <n v="0.02"/>
    <s v="25 Point"/>
    <n v="660790"/>
  </r>
  <r>
    <n v="44"/>
    <x v="5"/>
    <x v="43"/>
    <x v="0"/>
    <x v="3"/>
    <s v="P1115"/>
    <x v="9"/>
    <x v="3"/>
    <x v="9"/>
    <x v="0"/>
    <n v="8"/>
    <n v="135500"/>
    <n v="0.02"/>
    <s v="25 Point"/>
    <n v="1081290"/>
  </r>
  <r>
    <n v="45"/>
    <x v="5"/>
    <x v="44"/>
    <x v="0"/>
    <x v="3"/>
    <s v="P1415"/>
    <x v="8"/>
    <x v="2"/>
    <x v="20"/>
    <x v="0"/>
    <n v="8"/>
    <n v="175000"/>
    <n v="0.02"/>
    <s v="25 Point"/>
    <n v="1396500"/>
  </r>
  <r>
    <n v="46"/>
    <x v="5"/>
    <x v="45"/>
    <x v="1"/>
    <x v="0"/>
    <s v="G1111"/>
    <x v="13"/>
    <x v="2"/>
    <x v="21"/>
    <x v="1"/>
    <n v="9"/>
    <n v="65000"/>
    <n v="0.03"/>
    <s v="5 Point"/>
    <n v="583050"/>
  </r>
  <r>
    <n v="47"/>
    <x v="5"/>
    <x v="46"/>
    <x v="0"/>
    <x v="0"/>
    <s v="S1611"/>
    <x v="7"/>
    <x v="2"/>
    <x v="21"/>
    <x v="2"/>
    <n v="11"/>
    <n v="65000"/>
    <n v="0.03"/>
    <s v="5 Point"/>
    <n v="713050"/>
  </r>
  <r>
    <n v="48"/>
    <x v="5"/>
    <x v="47"/>
    <x v="1"/>
    <x v="0"/>
    <s v="G1113"/>
    <x v="7"/>
    <x v="2"/>
    <x v="22"/>
    <x v="1"/>
    <n v="10"/>
    <n v="90000"/>
    <n v="0.03"/>
    <s v="15 Point"/>
    <n v="897300"/>
  </r>
  <r>
    <n v="49"/>
    <x v="5"/>
    <x v="48"/>
    <x v="1"/>
    <x v="0"/>
    <s v="S1611"/>
    <x v="7"/>
    <x v="2"/>
    <x v="23"/>
    <x v="2"/>
    <n v="9"/>
    <n v="95000"/>
    <n v="0.03"/>
    <s v="5 Point"/>
    <n v="852150"/>
  </r>
  <r>
    <n v="50"/>
    <x v="6"/>
    <x v="49"/>
    <x v="0"/>
    <x v="0"/>
    <s v="G1413"/>
    <x v="6"/>
    <x v="2"/>
    <x v="23"/>
    <x v="1"/>
    <n v="5"/>
    <n v="95000"/>
    <n v="0.02"/>
    <s v="15 Point"/>
    <n v="473100"/>
  </r>
  <r>
    <n v="51"/>
    <x v="6"/>
    <x v="50"/>
    <x v="1"/>
    <x v="0"/>
    <s v="S1113"/>
    <x v="6"/>
    <x v="2"/>
    <x v="23"/>
    <x v="2"/>
    <n v="5"/>
    <n v="95000"/>
    <n v="0.02"/>
    <s v="15 Point"/>
    <n v="473100"/>
  </r>
  <r>
    <n v="52"/>
    <x v="6"/>
    <x v="51"/>
    <x v="0"/>
    <x v="0"/>
    <s v="S1111"/>
    <x v="14"/>
    <x v="1"/>
    <x v="24"/>
    <x v="2"/>
    <n v="3"/>
    <n v="115000"/>
    <n v="0.02"/>
    <s v="5 Point"/>
    <n v="342700"/>
  </r>
  <r>
    <n v="53"/>
    <x v="6"/>
    <x v="52"/>
    <x v="0"/>
    <x v="0"/>
    <s v="S1314"/>
    <x v="14"/>
    <x v="1"/>
    <x v="24"/>
    <x v="2"/>
    <n v="2"/>
    <n v="115000"/>
    <n v="0.02"/>
    <s v="20 Point"/>
    <n v="227700"/>
  </r>
  <r>
    <n v="54"/>
    <x v="6"/>
    <x v="53"/>
    <x v="1"/>
    <x v="0"/>
    <s v="S1611"/>
    <x v="0"/>
    <x v="0"/>
    <x v="18"/>
    <x v="2"/>
    <n v="2"/>
    <n v="45555"/>
    <n v="0.02"/>
    <s v="5 Point"/>
    <n v="90198.9"/>
  </r>
  <r>
    <n v="55"/>
    <x v="6"/>
    <x v="54"/>
    <x v="0"/>
    <x v="0"/>
    <s v="S1512"/>
    <x v="2"/>
    <x v="0"/>
    <x v="18"/>
    <x v="2"/>
    <n v="2"/>
    <n v="45555"/>
    <n v="0.02"/>
    <s v="10 Point"/>
    <n v="90198.9"/>
  </r>
  <r>
    <n v="56"/>
    <x v="6"/>
    <x v="55"/>
    <x v="0"/>
    <x v="0"/>
    <s v="G1111"/>
    <x v="3"/>
    <x v="1"/>
    <x v="16"/>
    <x v="1"/>
    <n v="4"/>
    <n v="225000"/>
    <n v="0.02"/>
    <s v="5 Point"/>
    <n v="895500"/>
  </r>
  <r>
    <n v="57"/>
    <x v="6"/>
    <x v="56"/>
    <x v="0"/>
    <x v="0"/>
    <s v="G1313"/>
    <x v="4"/>
    <x v="1"/>
    <x v="3"/>
    <x v="1"/>
    <n v="5"/>
    <n v="195000"/>
    <n v="0.02"/>
    <s v="15 Point"/>
    <n v="971100"/>
  </r>
  <r>
    <n v="58"/>
    <x v="6"/>
    <x v="57"/>
    <x v="1"/>
    <x v="0"/>
    <s v="G1311"/>
    <x v="4"/>
    <x v="1"/>
    <x v="3"/>
    <x v="1"/>
    <n v="5"/>
    <n v="195000"/>
    <n v="0.02"/>
    <s v="5 Point"/>
    <n v="971100"/>
  </r>
  <r>
    <n v="59"/>
    <x v="6"/>
    <x v="58"/>
    <x v="0"/>
    <x v="0"/>
    <s v="P1115"/>
    <x v="5"/>
    <x v="1"/>
    <x v="3"/>
    <x v="0"/>
    <n v="7"/>
    <n v="195000"/>
    <n v="0.02"/>
    <s v="25 Point"/>
    <n v="1361100"/>
  </r>
  <r>
    <n v="60"/>
    <x v="6"/>
    <x v="59"/>
    <x v="0"/>
    <x v="0"/>
    <s v="P1415"/>
    <x v="3"/>
    <x v="1"/>
    <x v="16"/>
    <x v="0"/>
    <n v="7"/>
    <n v="225000"/>
    <n v="0.02"/>
    <s v="25 Point"/>
    <n v="1570500"/>
  </r>
  <r>
    <n v="61"/>
    <x v="6"/>
    <x v="60"/>
    <x v="1"/>
    <x v="0"/>
    <s v="G1111"/>
    <x v="6"/>
    <x v="2"/>
    <x v="25"/>
    <x v="1"/>
    <n v="7"/>
    <n v="125000"/>
    <n v="0.02"/>
    <s v="5 Point"/>
    <n v="872500"/>
  </r>
  <r>
    <n v="62"/>
    <x v="7"/>
    <x v="61"/>
    <x v="0"/>
    <x v="0"/>
    <s v="G1115"/>
    <x v="7"/>
    <x v="2"/>
    <x v="14"/>
    <x v="1"/>
    <n v="8"/>
    <n v="185000"/>
    <n v="0.02"/>
    <s v="25 Point"/>
    <n v="1476300"/>
  </r>
  <r>
    <n v="63"/>
    <x v="7"/>
    <x v="62"/>
    <x v="0"/>
    <x v="0"/>
    <s v="G1612"/>
    <x v="8"/>
    <x v="2"/>
    <x v="14"/>
    <x v="1"/>
    <n v="8"/>
    <n v="185000"/>
    <n v="0.02"/>
    <s v="10 Point"/>
    <n v="1476300"/>
  </r>
  <r>
    <n v="64"/>
    <x v="7"/>
    <x v="63"/>
    <x v="1"/>
    <x v="0"/>
    <s v="G1212"/>
    <x v="9"/>
    <x v="3"/>
    <x v="6"/>
    <x v="1"/>
    <n v="9"/>
    <n v="75000"/>
    <n v="0.03"/>
    <s v="10 Point"/>
    <n v="672750"/>
  </r>
  <r>
    <n v="65"/>
    <x v="7"/>
    <x v="64"/>
    <x v="0"/>
    <x v="0"/>
    <s v="G1213"/>
    <x v="3"/>
    <x v="1"/>
    <x v="17"/>
    <x v="1"/>
    <n v="12"/>
    <n v="45500"/>
    <n v="0.03"/>
    <s v="15 Point"/>
    <n v="544635"/>
  </r>
  <r>
    <n v="66"/>
    <x v="7"/>
    <x v="65"/>
    <x v="1"/>
    <x v="3"/>
    <s v="G1215"/>
    <x v="4"/>
    <x v="1"/>
    <x v="4"/>
    <x v="1"/>
    <n v="11"/>
    <n v="85500"/>
    <n v="0.03"/>
    <s v="25 Point"/>
    <n v="937935"/>
  </r>
  <r>
    <n v="67"/>
    <x v="7"/>
    <x v="66"/>
    <x v="0"/>
    <x v="3"/>
    <s v="P1214"/>
    <x v="4"/>
    <x v="1"/>
    <x v="17"/>
    <x v="0"/>
    <n v="11"/>
    <n v="45500"/>
    <n v="0.03"/>
    <s v="20 Point"/>
    <n v="499135"/>
  </r>
  <r>
    <n v="68"/>
    <x v="7"/>
    <x v="67"/>
    <x v="0"/>
    <x v="3"/>
    <s v="P1414"/>
    <x v="5"/>
    <x v="1"/>
    <x v="17"/>
    <x v="0"/>
    <n v="15"/>
    <n v="45500"/>
    <n v="0.03"/>
    <s v="20 Point"/>
    <n v="681135"/>
  </r>
  <r>
    <n v="69"/>
    <x v="8"/>
    <x v="68"/>
    <x v="0"/>
    <x v="3"/>
    <s v="P1115"/>
    <x v="3"/>
    <x v="1"/>
    <x v="4"/>
    <x v="0"/>
    <n v="13"/>
    <n v="85500"/>
    <n v="0.03"/>
    <s v="25 Point"/>
    <n v="1108935"/>
  </r>
  <r>
    <n v="70"/>
    <x v="8"/>
    <x v="69"/>
    <x v="1"/>
    <x v="1"/>
    <s v="P1415"/>
    <x v="6"/>
    <x v="2"/>
    <x v="13"/>
    <x v="0"/>
    <n v="2"/>
    <n v="55000"/>
    <n v="0.02"/>
    <s v="25 Point"/>
    <n v="108900"/>
  </r>
  <r>
    <n v="71"/>
    <x v="8"/>
    <x v="70"/>
    <x v="1"/>
    <x v="1"/>
    <s v="G1111"/>
    <x v="7"/>
    <x v="2"/>
    <x v="13"/>
    <x v="1"/>
    <n v="2"/>
    <n v="55000"/>
    <n v="0.02"/>
    <s v="5 Point"/>
    <n v="108900"/>
  </r>
  <r>
    <n v="72"/>
    <x v="8"/>
    <x v="71"/>
    <x v="0"/>
    <x v="1"/>
    <s v="G1115"/>
    <x v="8"/>
    <x v="2"/>
    <x v="26"/>
    <x v="1"/>
    <n v="2"/>
    <n v="70000"/>
    <n v="0.02"/>
    <s v="25 Point"/>
    <n v="138600"/>
  </r>
  <r>
    <n v="73"/>
    <x v="8"/>
    <x v="72"/>
    <x v="0"/>
    <x v="1"/>
    <s v="G1115"/>
    <x v="9"/>
    <x v="3"/>
    <x v="6"/>
    <x v="1"/>
    <n v="3"/>
    <n v="75000"/>
    <n v="0.02"/>
    <s v="25 Point"/>
    <n v="223500"/>
  </r>
  <r>
    <n v="74"/>
    <x v="8"/>
    <x v="73"/>
    <x v="0"/>
    <x v="1"/>
    <s v="G1415"/>
    <x v="9"/>
    <x v="3"/>
    <x v="7"/>
    <x v="1"/>
    <n v="4"/>
    <n v="85000"/>
    <n v="0.02"/>
    <s v="25 Point"/>
    <n v="338300"/>
  </r>
  <r>
    <n v="75"/>
    <x v="8"/>
    <x v="74"/>
    <x v="0"/>
    <x v="1"/>
    <s v="G1612"/>
    <x v="10"/>
    <x v="3"/>
    <x v="6"/>
    <x v="1"/>
    <n v="5"/>
    <n v="75000"/>
    <n v="0.02"/>
    <s v="10 Point"/>
    <n v="373500"/>
  </r>
  <r>
    <n v="76"/>
    <x v="8"/>
    <x v="75"/>
    <x v="1"/>
    <x v="1"/>
    <s v="G1212"/>
    <x v="10"/>
    <x v="3"/>
    <x v="8"/>
    <x v="1"/>
    <n v="6"/>
    <n v="110500"/>
    <n v="0.02"/>
    <s v="10 Point"/>
    <n v="660790"/>
  </r>
  <r>
    <n v="77"/>
    <x v="8"/>
    <x v="76"/>
    <x v="1"/>
    <x v="1"/>
    <s v="G1213"/>
    <x v="10"/>
    <x v="3"/>
    <x v="7"/>
    <x v="1"/>
    <n v="10"/>
    <n v="85000"/>
    <n v="0.03"/>
    <s v="15 Point"/>
    <n v="847450"/>
  </r>
  <r>
    <n v="78"/>
    <x v="9"/>
    <x v="77"/>
    <x v="0"/>
    <x v="1"/>
    <s v="G1215"/>
    <x v="10"/>
    <x v="3"/>
    <x v="6"/>
    <x v="1"/>
    <n v="9"/>
    <n v="75000"/>
    <n v="0.03"/>
    <s v="25 Point"/>
    <n v="672750"/>
  </r>
  <r>
    <n v="79"/>
    <x v="9"/>
    <x v="78"/>
    <x v="0"/>
    <x v="1"/>
    <s v="P1214"/>
    <x v="11"/>
    <x v="3"/>
    <x v="8"/>
    <x v="0"/>
    <n v="5"/>
    <n v="110500"/>
    <n v="0.02"/>
    <s v="20 Point"/>
    <n v="550290"/>
  </r>
  <r>
    <n v="80"/>
    <x v="9"/>
    <x v="79"/>
    <x v="0"/>
    <x v="0"/>
    <s v="P1414"/>
    <x v="12"/>
    <x v="3"/>
    <x v="8"/>
    <x v="0"/>
    <n v="5"/>
    <n v="110500"/>
    <n v="0.02"/>
    <s v="20 Point"/>
    <n v="550290"/>
  </r>
  <r>
    <n v="81"/>
    <x v="9"/>
    <x v="80"/>
    <x v="1"/>
    <x v="0"/>
    <s v="G1111"/>
    <x v="9"/>
    <x v="3"/>
    <x v="6"/>
    <x v="1"/>
    <n v="3"/>
    <n v="75000"/>
    <n v="0.02"/>
    <s v="5 Point"/>
    <n v="223500"/>
  </r>
  <r>
    <n v="82"/>
    <x v="10"/>
    <x v="81"/>
    <x v="0"/>
    <x v="0"/>
    <s v="G1412"/>
    <x v="1"/>
    <x v="0"/>
    <x v="19"/>
    <x v="1"/>
    <n v="2"/>
    <n v="89999"/>
    <n v="0.02"/>
    <s v="10 Point"/>
    <n v="178198.02"/>
  </r>
  <r>
    <n v="83"/>
    <x v="10"/>
    <x v="82"/>
    <x v="1"/>
    <x v="0"/>
    <s v="G1411"/>
    <x v="0"/>
    <x v="0"/>
    <x v="1"/>
    <x v="1"/>
    <n v="2"/>
    <n v="69999"/>
    <n v="0.02"/>
    <s v="5 Point"/>
    <n v="138598.01999999999"/>
  </r>
  <r>
    <n v="84"/>
    <x v="10"/>
    <x v="83"/>
    <x v="0"/>
    <x v="0"/>
    <s v="G1413"/>
    <x v="2"/>
    <x v="0"/>
    <x v="1"/>
    <x v="1"/>
    <n v="2"/>
    <n v="69999"/>
    <n v="0.02"/>
    <s v="15 Point"/>
    <n v="138598.01999999999"/>
  </r>
  <r>
    <n v="85"/>
    <x v="10"/>
    <x v="84"/>
    <x v="0"/>
    <x v="0"/>
    <s v="S1113"/>
    <x v="15"/>
    <x v="0"/>
    <x v="0"/>
    <x v="2"/>
    <n v="4"/>
    <n v="49999"/>
    <n v="0.02"/>
    <s v="15 Point"/>
    <n v="198996.02"/>
  </r>
  <r>
    <n v="86"/>
    <x v="10"/>
    <x v="85"/>
    <x v="1"/>
    <x v="0"/>
    <s v="S1111"/>
    <x v="3"/>
    <x v="1"/>
    <x v="4"/>
    <x v="2"/>
    <n v="5"/>
    <n v="85500"/>
    <n v="0.02"/>
    <s v="5 Point"/>
    <n v="425790"/>
  </r>
  <r>
    <n v="87"/>
    <x v="11"/>
    <x v="86"/>
    <x v="0"/>
    <x v="0"/>
    <s v="S1314"/>
    <x v="4"/>
    <x v="1"/>
    <x v="4"/>
    <x v="2"/>
    <n v="5"/>
    <n v="85500"/>
    <n v="0.02"/>
    <s v="20 Point"/>
    <n v="425790"/>
  </r>
  <r>
    <n v="88"/>
    <x v="11"/>
    <x v="87"/>
    <x v="0"/>
    <x v="0"/>
    <s v="G1111"/>
    <x v="10"/>
    <x v="3"/>
    <x v="6"/>
    <x v="1"/>
    <n v="7"/>
    <n v="75000"/>
    <n v="0.02"/>
    <s v="5 Point"/>
    <n v="523500"/>
  </r>
  <r>
    <n v="89"/>
    <x v="11"/>
    <x v="88"/>
    <x v="0"/>
    <x v="0"/>
    <s v="G1411"/>
    <x v="2"/>
    <x v="0"/>
    <x v="1"/>
    <x v="1"/>
    <n v="7"/>
    <n v="69999"/>
    <n v="0.02"/>
    <s v="5 Point"/>
    <n v="488593.02"/>
  </r>
  <r>
    <n v="90"/>
    <x v="11"/>
    <x v="89"/>
    <x v="1"/>
    <x v="0"/>
    <s v="G1312"/>
    <x v="3"/>
    <x v="1"/>
    <x v="4"/>
    <x v="1"/>
    <n v="7"/>
    <n v="85500"/>
    <n v="0.02"/>
    <s v="10 Point"/>
    <n v="596790"/>
  </r>
  <r>
    <n v="91"/>
    <x v="11"/>
    <x v="90"/>
    <x v="0"/>
    <x v="0"/>
    <s v="G1313"/>
    <x v="4"/>
    <x v="1"/>
    <x v="4"/>
    <x v="1"/>
    <n v="8"/>
    <n v="85500"/>
    <n v="0.02"/>
    <s v="15 Point"/>
    <n v="682290"/>
  </r>
  <r>
    <n v="92"/>
    <x v="11"/>
    <x v="91"/>
    <x v="0"/>
    <x v="0"/>
    <s v="G1311"/>
    <x v="2"/>
    <x v="0"/>
    <x v="19"/>
    <x v="1"/>
    <n v="8"/>
    <n v="89999"/>
    <n v="0.02"/>
    <s v="5 Point"/>
    <n v="718192.02"/>
  </r>
  <r>
    <n v="93"/>
    <x v="12"/>
    <x v="92"/>
    <x v="0"/>
    <x v="0"/>
    <s v="P1115"/>
    <x v="3"/>
    <x v="1"/>
    <x v="3"/>
    <x v="0"/>
    <n v="9"/>
    <n v="195000"/>
    <n v="0.03"/>
    <s v="25 Point"/>
    <n v="1749150"/>
  </r>
  <r>
    <n v="94"/>
    <x v="12"/>
    <x v="93"/>
    <x v="1"/>
    <x v="0"/>
    <s v="P1415"/>
    <x v="4"/>
    <x v="1"/>
    <x v="3"/>
    <x v="0"/>
    <n v="12"/>
    <n v="195000"/>
    <n v="0.03"/>
    <s v="25 Point"/>
    <n v="2334150"/>
  </r>
  <r>
    <n v="95"/>
    <x v="12"/>
    <x v="94"/>
    <x v="0"/>
    <x v="0"/>
    <s v="G1111"/>
    <x v="2"/>
    <x v="0"/>
    <x v="19"/>
    <x v="1"/>
    <n v="11"/>
    <n v="89999"/>
    <n v="0.03"/>
    <s v="5 Point"/>
    <n v="987289.03"/>
  </r>
  <r>
    <n v="96"/>
    <x v="12"/>
    <x v="95"/>
    <x v="1"/>
    <x v="0"/>
    <s v="G1115"/>
    <x v="10"/>
    <x v="3"/>
    <x v="6"/>
    <x v="1"/>
    <n v="3"/>
    <n v="75000"/>
    <n v="0.02"/>
    <s v="25 Point"/>
    <n v="223500"/>
  </r>
  <r>
    <n v="97"/>
    <x v="12"/>
    <x v="96"/>
    <x v="1"/>
    <x v="0"/>
    <s v="G1115"/>
    <x v="2"/>
    <x v="0"/>
    <x v="1"/>
    <x v="1"/>
    <n v="2"/>
    <n v="69999"/>
    <n v="0.02"/>
    <s v="25 Point"/>
    <n v="138598.01999999999"/>
  </r>
  <r>
    <n v="98"/>
    <x v="13"/>
    <x v="97"/>
    <x v="0"/>
    <x v="0"/>
    <s v="G1415"/>
    <x v="8"/>
    <x v="2"/>
    <x v="27"/>
    <x v="1"/>
    <n v="2"/>
    <n v="75000"/>
    <n v="0.02"/>
    <s v="25 Point"/>
    <n v="148500"/>
  </r>
  <r>
    <n v="99"/>
    <x v="13"/>
    <x v="98"/>
    <x v="0"/>
    <x v="0"/>
    <s v="G1612"/>
    <x v="6"/>
    <x v="2"/>
    <x v="27"/>
    <x v="1"/>
    <n v="4"/>
    <n v="75000"/>
    <n v="0.02"/>
    <s v="10 Point"/>
    <n v="298500"/>
  </r>
  <r>
    <n v="100"/>
    <x v="13"/>
    <x v="99"/>
    <x v="0"/>
    <x v="0"/>
    <s v="G1212"/>
    <x v="8"/>
    <x v="2"/>
    <x v="28"/>
    <x v="1"/>
    <n v="4"/>
    <n v="120000"/>
    <n v="0.02"/>
    <s v="10 Point"/>
    <n v="477600"/>
  </r>
  <r>
    <n v="101"/>
    <x v="13"/>
    <x v="100"/>
    <x v="0"/>
    <x v="0"/>
    <s v="G1213"/>
    <x v="10"/>
    <x v="3"/>
    <x v="8"/>
    <x v="1"/>
    <n v="5"/>
    <n v="110500"/>
    <n v="0.02"/>
    <s v="15 Point"/>
    <n v="550290"/>
  </r>
  <r>
    <n v="102"/>
    <x v="13"/>
    <x v="101"/>
    <x v="0"/>
    <x v="0"/>
    <s v="G1111"/>
    <x v="10"/>
    <x v="3"/>
    <x v="7"/>
    <x v="1"/>
    <n v="5"/>
    <n v="85000"/>
    <n v="0.02"/>
    <s v="5 Point"/>
    <n v="423300"/>
  </r>
  <r>
    <n v="103"/>
    <x v="13"/>
    <x v="102"/>
    <x v="0"/>
    <x v="0"/>
    <s v="G1411"/>
    <x v="8"/>
    <x v="2"/>
    <x v="27"/>
    <x v="1"/>
    <n v="7"/>
    <n v="75000"/>
    <n v="0.02"/>
    <s v="5 Point"/>
    <n v="523500"/>
  </r>
  <r>
    <n v="104"/>
    <x v="14"/>
    <x v="103"/>
    <x v="1"/>
    <x v="0"/>
    <s v="G1312"/>
    <x v="2"/>
    <x v="0"/>
    <x v="19"/>
    <x v="1"/>
    <n v="8"/>
    <n v="89999"/>
    <n v="0.02"/>
    <s v="10 Point"/>
    <n v="718192.02"/>
  </r>
  <r>
    <n v="105"/>
    <x v="14"/>
    <x v="104"/>
    <x v="1"/>
    <x v="0"/>
    <s v="G1313"/>
    <x v="10"/>
    <x v="3"/>
    <x v="8"/>
    <x v="1"/>
    <n v="8"/>
    <n v="110500"/>
    <n v="0.02"/>
    <s v="15 Point"/>
    <n v="881790"/>
  </r>
  <r>
    <n v="106"/>
    <x v="14"/>
    <x v="105"/>
    <x v="1"/>
    <x v="0"/>
    <s v="G1311"/>
    <x v="2"/>
    <x v="0"/>
    <x v="19"/>
    <x v="1"/>
    <n v="7"/>
    <n v="89999"/>
    <n v="0.02"/>
    <s v="5 Point"/>
    <n v="628193.02"/>
  </r>
  <r>
    <n v="107"/>
    <x v="15"/>
    <x v="106"/>
    <x v="1"/>
    <x v="0"/>
    <s v="P1115"/>
    <x v="2"/>
    <x v="0"/>
    <x v="19"/>
    <x v="0"/>
    <n v="7"/>
    <n v="89999"/>
    <n v="0.02"/>
    <s v="25 Point"/>
    <n v="628193.02"/>
  </r>
  <r>
    <n v="108"/>
    <x v="15"/>
    <x v="107"/>
    <x v="0"/>
    <x v="4"/>
    <s v="P1415"/>
    <x v="2"/>
    <x v="0"/>
    <x v="19"/>
    <x v="0"/>
    <n v="5"/>
    <n v="89999"/>
    <n v="0.02"/>
    <s v="25 Point"/>
    <n v="448195.02"/>
  </r>
  <r>
    <n v="109"/>
    <x v="15"/>
    <x v="108"/>
    <x v="0"/>
    <x v="4"/>
    <s v="G1111"/>
    <x v="8"/>
    <x v="2"/>
    <x v="27"/>
    <x v="1"/>
    <n v="4"/>
    <n v="75000"/>
    <n v="0.02"/>
    <s v="5 Point"/>
    <n v="298500"/>
  </r>
  <r>
    <n v="110"/>
    <x v="15"/>
    <x v="109"/>
    <x v="1"/>
    <x v="1"/>
    <s v="G1115"/>
    <x v="8"/>
    <x v="2"/>
    <x v="13"/>
    <x v="1"/>
    <n v="6"/>
    <n v="55000"/>
    <n v="0.02"/>
    <s v="25 Point"/>
    <n v="328900"/>
  </r>
  <r>
    <n v="111"/>
    <x v="15"/>
    <x v="110"/>
    <x v="1"/>
    <x v="4"/>
    <s v="G1115"/>
    <x v="8"/>
    <x v="2"/>
    <x v="13"/>
    <x v="1"/>
    <n v="8"/>
    <n v="55000"/>
    <n v="0.02"/>
    <s v="25 Point"/>
    <n v="438900"/>
  </r>
  <r>
    <n v="112"/>
    <x v="15"/>
    <x v="111"/>
    <x v="0"/>
    <x v="4"/>
    <s v="G1415"/>
    <x v="3"/>
    <x v="1"/>
    <x v="24"/>
    <x v="1"/>
    <n v="8"/>
    <n v="115000"/>
    <n v="0.02"/>
    <s v="25 Point"/>
    <n v="917700"/>
  </r>
  <r>
    <n v="113"/>
    <x v="16"/>
    <x v="112"/>
    <x v="0"/>
    <x v="1"/>
    <s v="G1612"/>
    <x v="4"/>
    <x v="1"/>
    <x v="24"/>
    <x v="1"/>
    <n v="9"/>
    <n v="115000"/>
    <n v="0.03"/>
    <s v="10 Point"/>
    <n v="1031550"/>
  </r>
  <r>
    <n v="114"/>
    <x v="16"/>
    <x v="113"/>
    <x v="0"/>
    <x v="4"/>
    <s v="G1212"/>
    <x v="10"/>
    <x v="3"/>
    <x v="8"/>
    <x v="1"/>
    <n v="11"/>
    <n v="110500"/>
    <n v="0.03"/>
    <s v="10 Point"/>
    <n v="1212185"/>
  </r>
  <r>
    <n v="115"/>
    <x v="16"/>
    <x v="114"/>
    <x v="0"/>
    <x v="1"/>
    <s v="G1213"/>
    <x v="3"/>
    <x v="1"/>
    <x v="17"/>
    <x v="1"/>
    <n v="10"/>
    <n v="45500"/>
    <n v="0.03"/>
    <s v="15 Point"/>
    <n v="453635"/>
  </r>
  <r>
    <n v="116"/>
    <x v="17"/>
    <x v="115"/>
    <x v="0"/>
    <x v="4"/>
    <s v="G1215"/>
    <x v="6"/>
    <x v="2"/>
    <x v="28"/>
    <x v="1"/>
    <n v="9"/>
    <n v="120000"/>
    <n v="0.03"/>
    <s v="25 Point"/>
    <n v="1076400"/>
  </r>
  <r>
    <n v="117"/>
    <x v="17"/>
    <x v="116"/>
    <x v="0"/>
    <x v="3"/>
    <s v="P1214"/>
    <x v="7"/>
    <x v="2"/>
    <x v="27"/>
    <x v="0"/>
    <n v="5"/>
    <n v="75000"/>
    <n v="0.02"/>
    <s v="20 Point"/>
    <n v="373500"/>
  </r>
  <r>
    <n v="118"/>
    <x v="17"/>
    <x v="117"/>
    <x v="0"/>
    <x v="3"/>
    <s v="P1414"/>
    <x v="8"/>
    <x v="2"/>
    <x v="13"/>
    <x v="0"/>
    <n v="5"/>
    <n v="55000"/>
    <n v="0.02"/>
    <s v="20 Point"/>
    <n v="273900"/>
  </r>
  <r>
    <n v="119"/>
    <x v="17"/>
    <x v="118"/>
    <x v="0"/>
    <x v="3"/>
    <s v="G1111"/>
    <x v="9"/>
    <x v="3"/>
    <x v="8"/>
    <x v="1"/>
    <n v="3"/>
    <n v="110500"/>
    <n v="0.02"/>
    <s v="5 Point"/>
    <n v="329290"/>
  </r>
  <r>
    <n v="120"/>
    <x v="17"/>
    <x v="119"/>
    <x v="0"/>
    <x v="3"/>
    <s v="G1412"/>
    <x v="15"/>
    <x v="0"/>
    <x v="1"/>
    <x v="1"/>
    <n v="2"/>
    <n v="69999"/>
    <n v="0.02"/>
    <s v="10 Point"/>
    <n v="138598.01999999999"/>
  </r>
  <r>
    <n v="121"/>
    <x v="18"/>
    <x v="120"/>
    <x v="0"/>
    <x v="3"/>
    <s v="G1411"/>
    <x v="0"/>
    <x v="0"/>
    <x v="2"/>
    <x v="1"/>
    <n v="2"/>
    <n v="25500"/>
    <n v="0.02"/>
    <s v="5 Point"/>
    <n v="50490"/>
  </r>
  <r>
    <n v="122"/>
    <x v="18"/>
    <x v="121"/>
    <x v="0"/>
    <x v="3"/>
    <s v="G1413"/>
    <x v="1"/>
    <x v="0"/>
    <x v="2"/>
    <x v="1"/>
    <n v="2"/>
    <n v="25500"/>
    <n v="0.02"/>
    <s v="15 Point"/>
    <n v="50490"/>
  </r>
  <r>
    <n v="123"/>
    <x v="18"/>
    <x v="122"/>
    <x v="0"/>
    <x v="3"/>
    <s v="S1113"/>
    <x v="1"/>
    <x v="0"/>
    <x v="2"/>
    <x v="2"/>
    <n v="4"/>
    <n v="25500"/>
    <n v="0.02"/>
    <s v="15 Point"/>
    <n v="101490"/>
  </r>
  <r>
    <n v="124"/>
    <x v="18"/>
    <x v="123"/>
    <x v="1"/>
    <x v="3"/>
    <s v="G1115"/>
    <x v="1"/>
    <x v="0"/>
    <x v="1"/>
    <x v="1"/>
    <n v="5"/>
    <n v="69999"/>
    <n v="0.02"/>
    <s v="25 Point"/>
    <n v="348595.02"/>
  </r>
  <r>
    <n v="125"/>
    <x v="19"/>
    <x v="124"/>
    <x v="1"/>
    <x v="3"/>
    <s v="P1414"/>
    <x v="15"/>
    <x v="0"/>
    <x v="1"/>
    <x v="0"/>
    <n v="5"/>
    <n v="69999"/>
    <n v="0.02"/>
    <s v="20 Point"/>
    <n v="348595.02"/>
  </r>
  <r>
    <n v="126"/>
    <x v="19"/>
    <x v="125"/>
    <x v="0"/>
    <x v="3"/>
    <s v="G1111"/>
    <x v="15"/>
    <x v="0"/>
    <x v="0"/>
    <x v="1"/>
    <n v="7"/>
    <n v="49999"/>
    <n v="0.02"/>
    <s v="5 Point"/>
    <n v="348993.02"/>
  </r>
  <r>
    <n v="127"/>
    <x v="19"/>
    <x v="126"/>
    <x v="0"/>
    <x v="3"/>
    <s v="G1412"/>
    <x v="0"/>
    <x v="0"/>
    <x v="0"/>
    <x v="1"/>
    <n v="7"/>
    <n v="49999"/>
    <n v="0.02"/>
    <s v="10 Point"/>
    <n v="348993.02"/>
  </r>
  <r>
    <n v="128"/>
    <x v="19"/>
    <x v="127"/>
    <x v="0"/>
    <x v="3"/>
    <s v="G1411"/>
    <x v="0"/>
    <x v="0"/>
    <x v="0"/>
    <x v="1"/>
    <n v="7"/>
    <n v="49999"/>
    <n v="0.02"/>
    <s v="5 Point"/>
    <n v="348993.02"/>
  </r>
  <r>
    <n v="129"/>
    <x v="19"/>
    <x v="128"/>
    <x v="0"/>
    <x v="3"/>
    <s v="G1413"/>
    <x v="12"/>
    <x v="3"/>
    <x v="8"/>
    <x v="1"/>
    <n v="8"/>
    <n v="110500"/>
    <n v="0.02"/>
    <s v="15 Point"/>
    <n v="881790"/>
  </r>
  <r>
    <n v="130"/>
    <x v="20"/>
    <x v="129"/>
    <x v="1"/>
    <x v="3"/>
    <s v="S1113"/>
    <x v="9"/>
    <x v="3"/>
    <x v="7"/>
    <x v="2"/>
    <n v="8"/>
    <n v="85000"/>
    <n v="0.02"/>
    <s v="15 Point"/>
    <n v="678300"/>
  </r>
  <r>
    <n v="131"/>
    <x v="20"/>
    <x v="130"/>
    <x v="1"/>
    <x v="3"/>
    <s v="S1111"/>
    <x v="8"/>
    <x v="2"/>
    <x v="27"/>
    <x v="2"/>
    <n v="9"/>
    <n v="75000"/>
    <n v="0.03"/>
    <s v="5 Point"/>
    <n v="672750"/>
  </r>
  <r>
    <n v="132"/>
    <x v="20"/>
    <x v="131"/>
    <x v="1"/>
    <x v="3"/>
    <s v="S1314"/>
    <x v="13"/>
    <x v="2"/>
    <x v="28"/>
    <x v="2"/>
    <n v="12"/>
    <n v="120000"/>
    <n v="0.03"/>
    <s v="20 Point"/>
    <n v="1436400"/>
  </r>
  <r>
    <n v="133"/>
    <x v="20"/>
    <x v="132"/>
    <x v="1"/>
    <x v="3"/>
    <s v="G1111"/>
    <x v="7"/>
    <x v="2"/>
    <x v="13"/>
    <x v="1"/>
    <n v="11"/>
    <n v="55000"/>
    <n v="0.03"/>
    <s v="5 Point"/>
    <n v="603350"/>
  </r>
  <r>
    <n v="134"/>
    <x v="21"/>
    <x v="133"/>
    <x v="1"/>
    <x v="3"/>
    <s v="G1411"/>
    <x v="7"/>
    <x v="2"/>
    <x v="13"/>
    <x v="1"/>
    <n v="11"/>
    <n v="55000"/>
    <n v="0.03"/>
    <s v="5 Point"/>
    <n v="603350"/>
  </r>
  <r>
    <n v="135"/>
    <x v="21"/>
    <x v="134"/>
    <x v="0"/>
    <x v="3"/>
    <s v="G1312"/>
    <x v="7"/>
    <x v="2"/>
    <x v="13"/>
    <x v="1"/>
    <n v="15"/>
    <n v="55000"/>
    <n v="0.03"/>
    <s v="10 Point"/>
    <n v="823350"/>
  </r>
  <r>
    <n v="136"/>
    <x v="21"/>
    <x v="135"/>
    <x v="0"/>
    <x v="3"/>
    <s v="G1313"/>
    <x v="6"/>
    <x v="2"/>
    <x v="28"/>
    <x v="1"/>
    <n v="13"/>
    <n v="120000"/>
    <n v="0.03"/>
    <s v="15 Point"/>
    <n v="1556400"/>
  </r>
  <r>
    <n v="137"/>
    <x v="21"/>
    <x v="136"/>
    <x v="1"/>
    <x v="3"/>
    <s v="G1311"/>
    <x v="6"/>
    <x v="2"/>
    <x v="28"/>
    <x v="1"/>
    <n v="2"/>
    <n v="120000"/>
    <n v="0.02"/>
    <s v="5 Point"/>
    <n v="237600"/>
  </r>
  <r>
    <n v="138"/>
    <x v="22"/>
    <x v="137"/>
    <x v="0"/>
    <x v="3"/>
    <s v="P1115"/>
    <x v="14"/>
    <x v="1"/>
    <x v="24"/>
    <x v="0"/>
    <n v="2"/>
    <n v="115000"/>
    <n v="0.02"/>
    <s v="25 Point"/>
    <n v="227700"/>
  </r>
  <r>
    <n v="139"/>
    <x v="22"/>
    <x v="138"/>
    <x v="0"/>
    <x v="3"/>
    <s v="P1415"/>
    <x v="14"/>
    <x v="1"/>
    <x v="24"/>
    <x v="0"/>
    <n v="2"/>
    <n v="115000"/>
    <n v="0.02"/>
    <s v="25 Point"/>
    <n v="227700"/>
  </r>
  <r>
    <n v="140"/>
    <x v="22"/>
    <x v="139"/>
    <x v="0"/>
    <x v="3"/>
    <s v="G1111"/>
    <x v="0"/>
    <x v="0"/>
    <x v="2"/>
    <x v="1"/>
    <n v="3"/>
    <n v="25500"/>
    <n v="0.02"/>
    <s v="5 Point"/>
    <n v="75990"/>
  </r>
  <r>
    <n v="141"/>
    <x v="23"/>
    <x v="140"/>
    <x v="0"/>
    <x v="4"/>
    <s v="G1115"/>
    <x v="2"/>
    <x v="0"/>
    <x v="2"/>
    <x v="1"/>
    <n v="4"/>
    <n v="25500"/>
    <n v="0.02"/>
    <s v="25 Point"/>
    <n v="101490"/>
  </r>
  <r>
    <n v="142"/>
    <x v="23"/>
    <x v="141"/>
    <x v="1"/>
    <x v="4"/>
    <s v="G1115"/>
    <x v="3"/>
    <x v="1"/>
    <x v="3"/>
    <x v="1"/>
    <n v="5"/>
    <n v="195000"/>
    <n v="0.02"/>
    <s v="25 Point"/>
    <n v="971100"/>
  </r>
  <r>
    <n v="143"/>
    <x v="23"/>
    <x v="142"/>
    <x v="1"/>
    <x v="4"/>
    <s v="G1415"/>
    <x v="4"/>
    <x v="1"/>
    <x v="17"/>
    <x v="1"/>
    <n v="7"/>
    <n v="45500"/>
    <n v="0.02"/>
    <s v="25 Point"/>
    <n v="317590"/>
  </r>
  <r>
    <n v="144"/>
    <x v="23"/>
    <x v="143"/>
    <x v="1"/>
    <x v="4"/>
    <s v="S1113"/>
    <x v="4"/>
    <x v="1"/>
    <x v="17"/>
    <x v="2"/>
    <n v="7"/>
    <n v="45500"/>
    <n v="0.02"/>
    <s v="15 Point"/>
    <n v="317590"/>
  </r>
  <r>
    <n v="145"/>
    <x v="23"/>
    <x v="144"/>
    <x v="1"/>
    <x v="4"/>
    <s v="S1113"/>
    <x v="5"/>
    <x v="1"/>
    <x v="17"/>
    <x v="2"/>
    <n v="5"/>
    <n v="45500"/>
    <n v="0.02"/>
    <s v="15 Point"/>
    <n v="226590"/>
  </r>
  <r>
    <n v="146"/>
    <x v="24"/>
    <x v="145"/>
    <x v="0"/>
    <x v="4"/>
    <s v="P1415"/>
    <x v="3"/>
    <x v="1"/>
    <x v="3"/>
    <x v="0"/>
    <n v="4"/>
    <n v="195000"/>
    <n v="0.02"/>
    <s v="25 Point"/>
    <n v="776100"/>
  </r>
  <r>
    <n v="147"/>
    <x v="24"/>
    <x v="146"/>
    <x v="1"/>
    <x v="1"/>
    <s v="S1611"/>
    <x v="6"/>
    <x v="2"/>
    <x v="27"/>
    <x v="2"/>
    <n v="6"/>
    <n v="75000"/>
    <n v="0.02"/>
    <s v="5 Point"/>
    <n v="448500"/>
  </r>
  <r>
    <n v="148"/>
    <x v="24"/>
    <x v="147"/>
    <x v="1"/>
    <x v="4"/>
    <s v="S1611"/>
    <x v="7"/>
    <x v="2"/>
    <x v="13"/>
    <x v="2"/>
    <n v="8"/>
    <n v="55000"/>
    <n v="0.02"/>
    <s v="5 Point"/>
    <n v="438900"/>
  </r>
  <r>
    <n v="149"/>
    <x v="24"/>
    <x v="148"/>
    <x v="0"/>
    <x v="4"/>
    <s v="G1115"/>
    <x v="8"/>
    <x v="2"/>
    <x v="28"/>
    <x v="1"/>
    <n v="8"/>
    <n v="120000"/>
    <n v="0.02"/>
    <s v="25 Point"/>
    <n v="957600"/>
  </r>
  <r>
    <n v="150"/>
    <x v="25"/>
    <x v="149"/>
    <x v="1"/>
    <x v="1"/>
    <s v="P1415"/>
    <x v="2"/>
    <x v="0"/>
    <x v="2"/>
    <x v="0"/>
    <n v="9"/>
    <n v="25500"/>
    <n v="0.03"/>
    <s v="25 Point"/>
    <n v="228735"/>
  </r>
  <r>
    <n v="151"/>
    <x v="25"/>
    <x v="150"/>
    <x v="0"/>
    <x v="1"/>
    <s v="S1113"/>
    <x v="8"/>
    <x v="2"/>
    <x v="28"/>
    <x v="2"/>
    <n v="11"/>
    <n v="120000"/>
    <n v="0.03"/>
    <s v="15 Point"/>
    <n v="1316400"/>
  </r>
  <r>
    <n v="152"/>
    <x v="25"/>
    <x v="151"/>
    <x v="0"/>
    <x v="1"/>
    <s v="S1113"/>
    <x v="6"/>
    <x v="2"/>
    <x v="13"/>
    <x v="2"/>
    <n v="10"/>
    <n v="55000"/>
    <n v="0.03"/>
    <s v="15 Point"/>
    <n v="548350"/>
  </r>
  <r>
    <n v="153"/>
    <x v="25"/>
    <x v="152"/>
    <x v="0"/>
    <x v="4"/>
    <s v="G1115"/>
    <x v="8"/>
    <x v="2"/>
    <x v="28"/>
    <x v="1"/>
    <n v="9"/>
    <n v="120000"/>
    <n v="0.03"/>
    <s v="25 Point"/>
    <n v="1076400"/>
  </r>
  <r>
    <n v="154"/>
    <x v="26"/>
    <x v="153"/>
    <x v="0"/>
    <x v="4"/>
    <s v="G1115"/>
    <x v="10"/>
    <x v="3"/>
    <x v="6"/>
    <x v="1"/>
    <n v="5"/>
    <n v="75000"/>
    <n v="0.02"/>
    <s v="25 Point"/>
    <n v="373500"/>
  </r>
  <r>
    <n v="155"/>
    <x v="26"/>
    <x v="154"/>
    <x v="0"/>
    <x v="4"/>
    <s v="P1415"/>
    <x v="10"/>
    <x v="3"/>
    <x v="7"/>
    <x v="0"/>
    <n v="5"/>
    <n v="85000"/>
    <n v="0.02"/>
    <s v="25 Point"/>
    <n v="423300"/>
  </r>
  <r>
    <n v="156"/>
    <x v="26"/>
    <x v="155"/>
    <x v="1"/>
    <x v="4"/>
    <s v="P1415"/>
    <x v="8"/>
    <x v="2"/>
    <x v="13"/>
    <x v="0"/>
    <n v="3"/>
    <n v="55000"/>
    <n v="0.02"/>
    <s v="25 Point"/>
    <n v="163900"/>
  </r>
  <r>
    <n v="157"/>
    <x v="26"/>
    <x v="156"/>
    <x v="0"/>
    <x v="1"/>
    <s v="G1115"/>
    <x v="2"/>
    <x v="0"/>
    <x v="2"/>
    <x v="1"/>
    <n v="2"/>
    <n v="25500"/>
    <n v="0.02"/>
    <s v="25 Point"/>
    <n v="50490"/>
  </r>
  <r>
    <n v="158"/>
    <x v="26"/>
    <x v="157"/>
    <x v="0"/>
    <x v="1"/>
    <s v="G1115"/>
    <x v="10"/>
    <x v="3"/>
    <x v="6"/>
    <x v="1"/>
    <n v="2"/>
    <n v="75000"/>
    <n v="0.02"/>
    <s v="25 Point"/>
    <n v="148500"/>
  </r>
  <r>
    <n v="159"/>
    <x v="26"/>
    <x v="158"/>
    <x v="1"/>
    <x v="4"/>
    <s v="G1115"/>
    <x v="2"/>
    <x v="0"/>
    <x v="1"/>
    <x v="1"/>
    <n v="2"/>
    <n v="69999"/>
    <n v="0.02"/>
    <s v="25 Point"/>
    <n v="138598.01999999999"/>
  </r>
  <r>
    <n v="160"/>
    <x v="27"/>
    <x v="159"/>
    <x v="1"/>
    <x v="1"/>
    <s v="P1415"/>
    <x v="2"/>
    <x v="0"/>
    <x v="2"/>
    <x v="0"/>
    <n v="4"/>
    <n v="25500"/>
    <n v="0.02"/>
    <s v="25 Point"/>
    <n v="101490"/>
  </r>
  <r>
    <n v="161"/>
    <x v="27"/>
    <x v="160"/>
    <x v="0"/>
    <x v="4"/>
    <s v="P1415"/>
    <x v="2"/>
    <x v="0"/>
    <x v="2"/>
    <x v="0"/>
    <n v="5"/>
    <n v="25500"/>
    <n v="0.02"/>
    <s v="25 Point"/>
    <n v="126990"/>
  </r>
  <r>
    <n v="162"/>
    <x v="27"/>
    <x v="161"/>
    <x v="1"/>
    <x v="4"/>
    <s v="S1611"/>
    <x v="8"/>
    <x v="2"/>
    <x v="28"/>
    <x v="2"/>
    <n v="5"/>
    <n v="120000"/>
    <n v="0.02"/>
    <s v="5 Point"/>
    <n v="597600"/>
  </r>
  <r>
    <n v="163"/>
    <x v="27"/>
    <x v="162"/>
    <x v="0"/>
    <x v="4"/>
    <s v="S1113"/>
    <x v="8"/>
    <x v="2"/>
    <x v="28"/>
    <x v="2"/>
    <n v="7"/>
    <n v="120000"/>
    <n v="0.02"/>
    <s v="15 Point"/>
    <n v="837600"/>
  </r>
  <r>
    <n v="164"/>
    <x v="27"/>
    <x v="163"/>
    <x v="1"/>
    <x v="4"/>
    <s v="P1415"/>
    <x v="8"/>
    <x v="2"/>
    <x v="13"/>
    <x v="0"/>
    <n v="7"/>
    <n v="55000"/>
    <n v="0.02"/>
    <s v="25 Point"/>
    <n v="383900"/>
  </r>
  <r>
    <n v="165"/>
    <x v="28"/>
    <x v="164"/>
    <x v="1"/>
    <x v="4"/>
    <s v="S1611"/>
    <x v="3"/>
    <x v="1"/>
    <x v="3"/>
    <x v="2"/>
    <n v="7"/>
    <n v="195000"/>
    <n v="0.02"/>
    <s v="5 Point"/>
    <n v="1361100"/>
  </r>
  <r>
    <n v="166"/>
    <x v="28"/>
    <x v="165"/>
    <x v="0"/>
    <x v="4"/>
    <s v="S1113"/>
    <x v="4"/>
    <x v="1"/>
    <x v="3"/>
    <x v="2"/>
    <n v="8"/>
    <n v="195000"/>
    <n v="0.02"/>
    <s v="15 Point"/>
    <n v="1556100"/>
  </r>
  <r>
    <n v="167"/>
    <x v="28"/>
    <x v="166"/>
    <x v="1"/>
    <x v="4"/>
    <s v="G1115"/>
    <x v="10"/>
    <x v="3"/>
    <x v="6"/>
    <x v="1"/>
    <n v="5"/>
    <n v="75000"/>
    <n v="0.02"/>
    <s v="25 Point"/>
    <n v="373500"/>
  </r>
  <r>
    <n v="168"/>
    <x v="28"/>
    <x v="167"/>
    <x v="0"/>
    <x v="1"/>
    <s v="G1115"/>
    <x v="3"/>
    <x v="1"/>
    <x v="24"/>
    <x v="1"/>
    <n v="4"/>
    <n v="115000"/>
    <n v="0.02"/>
    <s v="25 Point"/>
    <n v="457700"/>
  </r>
  <r>
    <n v="169"/>
    <x v="28"/>
    <x v="168"/>
    <x v="0"/>
    <x v="1"/>
    <s v="G1115"/>
    <x v="7"/>
    <x v="2"/>
    <x v="13"/>
    <x v="1"/>
    <n v="6"/>
    <n v="55000"/>
    <n v="0.02"/>
    <s v="25 Point"/>
    <n v="328900"/>
  </r>
  <r>
    <n v="170"/>
    <x v="28"/>
    <x v="169"/>
    <x v="0"/>
    <x v="1"/>
    <s v="S1113"/>
    <x v="6"/>
    <x v="2"/>
    <x v="28"/>
    <x v="2"/>
    <n v="8"/>
    <n v="120000"/>
    <n v="0.02"/>
    <s v="15 Point"/>
    <n v="957600"/>
  </r>
  <r>
    <n v="171"/>
    <x v="29"/>
    <x v="170"/>
    <x v="0"/>
    <x v="1"/>
    <s v="S1113"/>
    <x v="6"/>
    <x v="2"/>
    <x v="27"/>
    <x v="2"/>
    <n v="8"/>
    <n v="75000"/>
    <n v="0.02"/>
    <s v="15 Point"/>
    <n v="598500"/>
  </r>
  <r>
    <n v="172"/>
    <x v="29"/>
    <x v="171"/>
    <x v="0"/>
    <x v="1"/>
    <s v="S1113"/>
    <x v="14"/>
    <x v="1"/>
    <x v="3"/>
    <x v="2"/>
    <n v="9"/>
    <n v="195000"/>
    <n v="0.03"/>
    <s v="15 Point"/>
    <n v="1749150"/>
  </r>
  <r>
    <n v="173"/>
    <x v="29"/>
    <x v="172"/>
    <x v="1"/>
    <x v="0"/>
    <s v="P1415"/>
    <x v="14"/>
    <x v="1"/>
    <x v="3"/>
    <x v="0"/>
    <n v="11"/>
    <n v="195000"/>
    <n v="0.03"/>
    <s v="25 Point"/>
    <n v="2139150"/>
  </r>
  <r>
    <n v="174"/>
    <x v="30"/>
    <x v="173"/>
    <x v="1"/>
    <x v="0"/>
    <s v="G1111"/>
    <x v="0"/>
    <x v="0"/>
    <x v="2"/>
    <x v="1"/>
    <n v="10"/>
    <n v="25500"/>
    <n v="0.03"/>
    <s v="5 Point"/>
    <n v="254235"/>
  </r>
  <r>
    <n v="175"/>
    <x v="30"/>
    <x v="174"/>
    <x v="0"/>
    <x v="0"/>
    <s v="G1411"/>
    <x v="2"/>
    <x v="0"/>
    <x v="2"/>
    <x v="1"/>
    <n v="9"/>
    <n v="25500"/>
    <n v="0.03"/>
    <s v="5 Point"/>
    <n v="228735"/>
  </r>
  <r>
    <n v="176"/>
    <x v="30"/>
    <x v="175"/>
    <x v="0"/>
    <x v="4"/>
    <s v="G1312"/>
    <x v="3"/>
    <x v="1"/>
    <x v="4"/>
    <x v="1"/>
    <n v="5"/>
    <n v="85500"/>
    <n v="0.02"/>
    <s v="10 Point"/>
    <n v="425790"/>
  </r>
  <r>
    <n v="177"/>
    <x v="30"/>
    <x v="176"/>
    <x v="0"/>
    <x v="0"/>
    <s v="G1313"/>
    <x v="4"/>
    <x v="1"/>
    <x v="16"/>
    <x v="1"/>
    <n v="7"/>
    <n v="225000"/>
    <n v="0.02"/>
    <s v="15 Point"/>
    <n v="1570500"/>
  </r>
  <r>
    <n v="178"/>
    <x v="31"/>
    <x v="177"/>
    <x v="1"/>
    <x v="4"/>
    <s v="P1415"/>
    <x v="4"/>
    <x v="1"/>
    <x v="16"/>
    <x v="0"/>
    <n v="7"/>
    <n v="225000"/>
    <n v="0.02"/>
    <s v="25 Point"/>
    <n v="1570500"/>
  </r>
  <r>
    <n v="179"/>
    <x v="31"/>
    <x v="178"/>
    <x v="0"/>
    <x v="4"/>
    <s v="S1113"/>
    <x v="5"/>
    <x v="1"/>
    <x v="16"/>
    <x v="2"/>
    <n v="7"/>
    <n v="225000"/>
    <n v="0.02"/>
    <s v="15 Point"/>
    <n v="1570500"/>
  </r>
  <r>
    <n v="180"/>
    <x v="31"/>
    <x v="179"/>
    <x v="0"/>
    <x v="4"/>
    <s v="S1113"/>
    <x v="3"/>
    <x v="1"/>
    <x v="4"/>
    <x v="2"/>
    <n v="8"/>
    <n v="85500"/>
    <n v="0.02"/>
    <s v="15 Point"/>
    <n v="682290"/>
  </r>
  <r>
    <m/>
    <x v="32"/>
    <x v="180"/>
    <x v="2"/>
    <x v="5"/>
    <m/>
    <x v="16"/>
    <x v="4"/>
    <x v="29"/>
    <x v="3"/>
    <n v="1100"/>
    <m/>
    <m/>
    <s v="Total Payment"/>
    <n v="104827888.20999999"/>
  </r>
  <r>
    <m/>
    <x v="32"/>
    <x v="180"/>
    <x v="2"/>
    <x v="5"/>
    <m/>
    <x v="16"/>
    <x v="4"/>
    <x v="29"/>
    <x v="4"/>
    <m/>
    <m/>
    <m/>
    <s v="Rata-rata Total Payment"/>
    <n v="582377.156722222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62BE5-0A63-4547-935F-D34679DED0B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Nama Produk" colHeaderCaption="Member">
  <location ref="A34:E65" firstHeaderRow="1" firstDataRow="2" firstDataCol="1"/>
  <pivotFields count="15">
    <pivotField showAll="0"/>
    <pivotField showAll="0"/>
    <pivotField showAll="0"/>
    <pivotField showAll="0">
      <items count="4">
        <item x="0"/>
        <item x="1"/>
        <item h="1" x="2"/>
        <item t="default"/>
      </items>
    </pivotField>
    <pivotField showAll="0">
      <items count="7">
        <item x="2"/>
        <item x="4"/>
        <item x="1"/>
        <item x="0"/>
        <item x="3"/>
        <item x="5"/>
        <item t="default"/>
      </items>
    </pivotField>
    <pivotField showAll="0"/>
    <pivotField showAll="0"/>
    <pivotField showAll="0">
      <items count="6">
        <item x="2"/>
        <item x="3"/>
        <item x="1"/>
        <item x="0"/>
        <item x="4"/>
        <item t="default"/>
      </items>
    </pivotField>
    <pivotField axis="axisRow" showAll="0">
      <items count="31">
        <item x="6"/>
        <item x="20"/>
        <item x="3"/>
        <item x="7"/>
        <item x="27"/>
        <item x="0"/>
        <item x="25"/>
        <item x="22"/>
        <item x="1"/>
        <item x="15"/>
        <item x="10"/>
        <item x="21"/>
        <item x="11"/>
        <item x="2"/>
        <item x="19"/>
        <item x="12"/>
        <item x="16"/>
        <item x="8"/>
        <item x="5"/>
        <item x="14"/>
        <item x="26"/>
        <item x="9"/>
        <item x="24"/>
        <item x="17"/>
        <item x="4"/>
        <item x="18"/>
        <item x="13"/>
        <item x="23"/>
        <item x="28"/>
        <item n="blank]" h="1" x="29"/>
        <item t="default"/>
      </items>
    </pivotField>
    <pivotField axis="axisCol" showAll="0">
      <items count="6">
        <item x="1"/>
        <item x="0"/>
        <item x="2"/>
        <item x="3"/>
        <item h="1" x="4"/>
        <item t="default"/>
      </items>
    </pivotField>
    <pivotField showAll="0"/>
    <pivotField dataField="1" showAll="0"/>
    <pivotField showAll="0"/>
    <pivotField showAll="0"/>
    <pivotField numFmtId="164" showAll="0"/>
  </pivotFields>
  <rowFields count="1">
    <field x="8"/>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9"/>
  </colFields>
  <colItems count="4">
    <i>
      <x/>
    </i>
    <i>
      <x v="1"/>
    </i>
    <i>
      <x v="2"/>
    </i>
    <i t="grand">
      <x/>
    </i>
  </colItems>
  <dataFields count="1">
    <dataField name="Rata-Rata Harga Per Item" fld="11" subtotal="average" baseField="0" baseItem="0" numFmtId="164"/>
  </dataFields>
  <formats count="18">
    <format dxfId="59">
      <pivotArea dataOnly="0" grandRow="1" fieldPosition="0"/>
    </format>
    <format dxfId="58">
      <pivotArea dataOnly="0" grandRow="1" fieldPosition="0"/>
    </format>
    <format dxfId="57">
      <pivotArea dataOnly="0" grandRow="1" fieldPosition="0"/>
    </format>
    <format dxfId="56">
      <pivotArea field="8" grandCol="1" collapsedLevelsAreSubtotals="1" axis="axisRow" fieldPosition="0">
        <references count="1">
          <reference field="8" count="28">
            <x v="0"/>
            <x v="1"/>
            <x v="2"/>
            <x v="3"/>
            <x v="4"/>
            <x v="5"/>
            <x v="6"/>
            <x v="7"/>
            <x v="8"/>
            <x v="9"/>
            <x v="10"/>
            <x v="11"/>
            <x v="12"/>
            <x v="13"/>
            <x v="14"/>
            <x v="15"/>
            <x v="16"/>
            <x v="17"/>
            <x v="18"/>
            <x v="19"/>
            <x v="20"/>
            <x v="21"/>
            <x v="22"/>
            <x v="23"/>
            <x v="24"/>
            <x v="25"/>
            <x v="26"/>
            <x v="27"/>
          </reference>
        </references>
      </pivotArea>
    </format>
    <format dxfId="55">
      <pivotArea dataOnly="0" outline="0" fieldPosition="0">
        <references count="1">
          <reference field="9" count="1">
            <x v="0"/>
          </reference>
        </references>
      </pivotArea>
    </format>
    <format dxfId="54">
      <pivotArea dataOnly="0" outline="0" fieldPosition="0">
        <references count="1">
          <reference field="9" count="1">
            <x v="1"/>
          </reference>
        </references>
      </pivotArea>
    </format>
    <format dxfId="53">
      <pivotArea dataOnly="0" outline="0" fieldPosition="0">
        <references count="1">
          <reference field="9" count="1">
            <x v="2"/>
          </reference>
        </references>
      </pivotArea>
    </format>
    <format dxfId="52">
      <pivotArea grandCol="1" outline="0" collapsedLevelsAreSubtotals="1" fieldPosition="0"/>
    </format>
    <format dxfId="51">
      <pivotArea dataOnly="0" labelOnly="1" grandCol="1" outline="0" fieldPosition="0"/>
    </format>
    <format dxfId="50">
      <pivotArea outline="0" collapsedLevelsAreSubtotals="1" fieldPosition="0"/>
    </format>
    <format dxfId="49">
      <pivotArea field="8" grandCol="1" collapsedLevelsAreSubtotals="1" axis="axisRow" fieldPosition="0">
        <references count="1">
          <reference field="8" count="14">
            <x v="0"/>
            <x v="1"/>
            <x v="2"/>
            <x v="3"/>
            <x v="4"/>
            <x v="5"/>
            <x v="6"/>
            <x v="7"/>
            <x v="8"/>
            <x v="9"/>
            <x v="10"/>
            <x v="11"/>
            <x v="12"/>
            <x v="13"/>
          </reference>
        </references>
      </pivotArea>
    </format>
    <format dxfId="48">
      <pivotArea field="8" grandCol="1" collapsedLevelsAreSubtotals="1" axis="axisRow" fieldPosition="0">
        <references count="1">
          <reference field="8" count="15">
            <x v="14"/>
            <x v="15"/>
            <x v="16"/>
            <x v="17"/>
            <x v="18"/>
            <x v="19"/>
            <x v="20"/>
            <x v="21"/>
            <x v="22"/>
            <x v="23"/>
            <x v="24"/>
            <x v="25"/>
            <x v="26"/>
            <x v="27"/>
            <x v="28"/>
          </reference>
        </references>
      </pivotArea>
    </format>
    <format dxfId="47">
      <pivotArea grandRow="1" grandCol="1" outline="0" collapsedLevelsAreSubtotals="1" fieldPosition="0"/>
    </format>
    <format dxfId="46">
      <pivotArea grandRow="1" outline="0" collapsedLevelsAreSubtotals="1" fieldPosition="0"/>
    </format>
    <format dxfId="45">
      <pivotArea dataOnly="0" labelOnly="1" grandRow="1" outline="0" fieldPosition="0"/>
    </format>
    <format dxfId="44">
      <pivotArea grandCol="1" outline="0" collapsedLevelsAreSubtotals="1" fieldPosition="0"/>
    </format>
    <format dxfId="43">
      <pivotArea field="8" grandCol="1" collapsedLevelsAreSubtotals="1" axis="axisRow" fieldPosition="0">
        <references count="1">
          <reference field="8" count="1">
            <x v="13"/>
          </reference>
        </references>
      </pivotArea>
    </format>
    <format dxfId="42">
      <pivotArea grandRow="1" grandCol="1" outline="0" collapsedLevelsAreSubtotals="1" fieldPosition="0"/>
    </format>
  </format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3">
          <reference field="4294967294" count="1" selected="0">
            <x v="0"/>
          </reference>
          <reference field="8" count="1" selected="0">
            <x v="28"/>
          </reference>
          <reference field="9" count="1" selected="0">
            <x v="0"/>
          </reference>
        </references>
      </pivotArea>
    </chartFormat>
    <chartFormat chart="0" format="4">
      <pivotArea type="data" outline="0" fieldPosition="0">
        <references count="3">
          <reference field="4294967294" count="1" selected="0">
            <x v="0"/>
          </reference>
          <reference field="8" count="1" selected="0">
            <x v="28"/>
          </reference>
          <reference field="9" count="1" selected="0">
            <x v="1"/>
          </reference>
        </references>
      </pivotArea>
    </chartFormat>
    <chartFormat chart="0" format="5">
      <pivotArea type="data" outline="0" fieldPosition="0">
        <references count="3">
          <reference field="4294967294" count="1" selected="0">
            <x v="0"/>
          </reference>
          <reference field="8" count="1" selected="0">
            <x v="28"/>
          </reference>
          <reference field="9" count="1" selected="0">
            <x v="2"/>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E1E15-42D6-BE42-8AB6-3EDC312DB72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omisili" colHeaderCaption="Product ID">
  <location ref="A19:R26" firstHeaderRow="1" firstDataRow="2" firstDataCol="1"/>
  <pivotFields count="15">
    <pivotField showAll="0"/>
    <pivotField showAll="0"/>
    <pivotField showAll="0"/>
    <pivotField showAll="0">
      <items count="4">
        <item x="0"/>
        <item x="1"/>
        <item h="1" x="2"/>
        <item t="default"/>
      </items>
    </pivotField>
    <pivotField axis="axisRow" showAll="0">
      <items count="7">
        <item x="2"/>
        <item x="4"/>
        <item x="1"/>
        <item x="0"/>
        <item x="3"/>
        <item x="5"/>
        <item t="default"/>
      </items>
    </pivotField>
    <pivotField showAll="0"/>
    <pivotField axis="axisCol" showAll="0">
      <items count="18">
        <item x="6"/>
        <item x="7"/>
        <item x="13"/>
        <item x="8"/>
        <item x="12"/>
        <item x="11"/>
        <item x="10"/>
        <item x="9"/>
        <item x="4"/>
        <item x="5"/>
        <item x="14"/>
        <item x="3"/>
        <item x="1"/>
        <item x="2"/>
        <item x="0"/>
        <item x="15"/>
        <item h="1" x="16"/>
        <item t="default"/>
      </items>
    </pivotField>
    <pivotField showAll="0">
      <items count="6">
        <item x="2"/>
        <item x="3"/>
        <item x="1"/>
        <item x="0"/>
        <item x="4"/>
        <item t="default"/>
      </items>
    </pivotField>
    <pivotField showAll="0"/>
    <pivotField showAll="0"/>
    <pivotField dataField="1" showAll="0"/>
    <pivotField showAll="0"/>
    <pivotField showAll="0"/>
    <pivotField showAll="0"/>
    <pivotField numFmtId="164" showAll="0"/>
  </pivotFields>
  <rowFields count="1">
    <field x="4"/>
  </rowFields>
  <rowItems count="6">
    <i>
      <x/>
    </i>
    <i>
      <x v="1"/>
    </i>
    <i>
      <x v="2"/>
    </i>
    <i>
      <x v="3"/>
    </i>
    <i>
      <x v="4"/>
    </i>
    <i t="grand">
      <x/>
    </i>
  </rowItems>
  <colFields count="1">
    <field x="6"/>
  </colFields>
  <colItems count="17">
    <i>
      <x/>
    </i>
    <i>
      <x v="1"/>
    </i>
    <i>
      <x v="2"/>
    </i>
    <i>
      <x v="3"/>
    </i>
    <i>
      <x v="4"/>
    </i>
    <i>
      <x v="5"/>
    </i>
    <i>
      <x v="6"/>
    </i>
    <i>
      <x v="7"/>
    </i>
    <i>
      <x v="8"/>
    </i>
    <i>
      <x v="9"/>
    </i>
    <i>
      <x v="10"/>
    </i>
    <i>
      <x v="11"/>
    </i>
    <i>
      <x v="12"/>
    </i>
    <i>
      <x v="13"/>
    </i>
    <i>
      <x v="14"/>
    </i>
    <i>
      <x v="15"/>
    </i>
    <i t="grand">
      <x/>
    </i>
  </colItems>
  <dataFields count="1">
    <dataField name="Total Quantity " fld="10" baseField="0" baseItem="0"/>
  </dataFields>
  <formats count="50">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6" type="button" dataOnly="0" labelOnly="1" outline="0" axis="axisCol" fieldPosition="0"/>
    </format>
    <format dxfId="105">
      <pivotArea type="topRight" dataOnly="0" labelOnly="1" outline="0" fieldPosition="0"/>
    </format>
    <format dxfId="104">
      <pivotArea field="4" type="button" dataOnly="0" labelOnly="1" outline="0" axis="axisRow" fieldPosition="0"/>
    </format>
    <format dxfId="103">
      <pivotArea dataOnly="0" labelOnly="1" grandRow="1" outline="0" fieldPosition="0"/>
    </format>
    <format dxfId="102">
      <pivotArea dataOnly="0" labelOnly="1" fieldPosition="0">
        <references count="1">
          <reference field="6" count="0"/>
        </references>
      </pivotArea>
    </format>
    <format dxfId="101">
      <pivotArea dataOnly="0" labelOnly="1" grandCol="1" outline="0" fieldPosition="0"/>
    </format>
    <format dxfId="100">
      <pivotArea dataOnly="0" labelOnly="1" fieldPosition="0">
        <references count="1">
          <reference field="4" count="5">
            <x v="0"/>
            <x v="1"/>
            <x v="2"/>
            <x v="3"/>
            <x v="4"/>
          </reference>
        </references>
      </pivotArea>
    </format>
    <format dxfId="99">
      <pivotArea dataOnly="0" grandRow="1" fieldPosition="0"/>
    </format>
    <format dxfId="98">
      <pivotArea grandRow="1" outline="0" collapsedLevelsAreSubtotals="1" fieldPosition="0"/>
    </format>
    <format dxfId="97">
      <pivotArea dataOnly="0" labelOnly="1" grandRow="1" outline="0" fieldPosition="0"/>
    </format>
    <format dxfId="96">
      <pivotArea grandRow="1" outline="0" collapsedLevelsAreSubtotals="1" fieldPosition="0"/>
    </format>
    <format dxfId="95">
      <pivotArea dataOnly="0" labelOnly="1" grandRow="1" outline="0" fieldPosition="0"/>
    </format>
    <format dxfId="94">
      <pivotArea dataOnly="0" labelOnly="1" grandRow="1" outline="0" fieldPosition="0"/>
    </format>
    <format dxfId="93">
      <pivotArea dataOnly="0" labelOnly="1" grandRow="1" outline="0" fieldPosition="0"/>
    </format>
    <format dxfId="92">
      <pivotArea field="6" grandRow="1" outline="0" collapsedLevelsAreSubtotals="1" axis="axisCol" fieldPosition="0">
        <references count="1">
          <reference field="6" count="5" selected="0">
            <x v="3"/>
            <x v="4"/>
            <x v="5"/>
            <x v="6"/>
            <x v="7"/>
          </reference>
        </references>
      </pivotArea>
    </format>
    <format dxfId="91">
      <pivotArea field="6" grandRow="1" outline="0" collapsedLevelsAreSubtotals="1" axis="axisCol" fieldPosition="0">
        <references count="1">
          <reference field="6" count="1" selected="0">
            <x v="5"/>
          </reference>
        </references>
      </pivotArea>
    </format>
    <format dxfId="90">
      <pivotArea collapsedLevelsAreSubtotals="1" fieldPosition="0">
        <references count="2">
          <reference field="4" count="1">
            <x v="4"/>
          </reference>
          <reference field="6" count="1" selected="0">
            <x v="8"/>
          </reference>
        </references>
      </pivotArea>
    </format>
    <format dxfId="89">
      <pivotArea dataOnly="0" labelOnly="1" fieldPosition="0">
        <references count="1">
          <reference field="4" count="0"/>
        </references>
      </pivotArea>
    </format>
    <format dxfId="88">
      <pivotArea dataOnly="0" labelOnly="1" fieldPosition="0">
        <references count="1">
          <reference field="4" count="0"/>
        </references>
      </pivotArea>
    </format>
    <format dxfId="87">
      <pivotArea field="6" grandRow="1" outline="0" collapsedLevelsAreSubtotals="1" axis="axisCol" fieldPosition="0">
        <references count="1">
          <reference field="6" count="1" selected="0">
            <x v="6"/>
          </reference>
        </references>
      </pivotArea>
    </format>
    <format dxfId="86">
      <pivotArea collapsedLevelsAreSubtotals="1" fieldPosition="0">
        <references count="2">
          <reference field="4" count="1">
            <x v="4"/>
          </reference>
          <reference field="6" count="1" selected="0">
            <x v="9"/>
          </reference>
        </references>
      </pivotArea>
    </format>
    <format dxfId="85">
      <pivotArea grandRow="1" outline="0" collapsedLevelsAreSubtotals="1" fieldPosition="0"/>
    </format>
    <format dxfId="84">
      <pivotArea dataOnly="0" labelOnly="1" grandRow="1" outline="0" fieldPosition="0"/>
    </format>
    <format dxfId="83">
      <pivotArea field="6" grandRow="1" outline="0" collapsedLevelsAreSubtotals="1" axis="axisCol" fieldPosition="0">
        <references count="1">
          <reference field="6" count="5" selected="0">
            <x v="0"/>
            <x v="1"/>
            <x v="2"/>
            <x v="3"/>
            <x v="4"/>
          </reference>
        </references>
      </pivotArea>
    </format>
    <format dxfId="82">
      <pivotArea dataOnly="0" labelOnly="1" grandRow="1" outline="0" fieldPosition="0"/>
    </format>
    <format dxfId="81">
      <pivotArea field="6" grandRow="1" outline="0" collapsedLevelsAreSubtotals="1" axis="axisCol" fieldPosition="0">
        <references count="1">
          <reference field="6" count="1" selected="0">
            <x v="4"/>
          </reference>
        </references>
      </pivotArea>
    </format>
    <format dxfId="80">
      <pivotArea field="6" grandRow="1" outline="0" collapsedLevelsAreSubtotals="1" axis="axisCol" fieldPosition="0">
        <references count="1">
          <reference field="6" count="1" selected="0">
            <x v="3"/>
          </reference>
        </references>
      </pivotArea>
    </format>
    <format dxfId="79">
      <pivotArea field="6" grandRow="1" outline="0" collapsedLevelsAreSubtotals="1" axis="axisCol" fieldPosition="0">
        <references count="1">
          <reference field="6" count="1" selected="0">
            <x v="2"/>
          </reference>
        </references>
      </pivotArea>
    </format>
    <format dxfId="78">
      <pivotArea field="6" grandRow="1" outline="0" collapsedLevelsAreSubtotals="1" axis="axisCol" fieldPosition="0">
        <references count="1">
          <reference field="6" count="1" selected="0">
            <x v="1"/>
          </reference>
        </references>
      </pivotArea>
    </format>
    <format dxfId="77">
      <pivotArea field="6" grandRow="1" outline="0" collapsedLevelsAreSubtotals="1" axis="axisCol" fieldPosition="0">
        <references count="1">
          <reference field="6" count="1" selected="0">
            <x v="0"/>
          </reference>
        </references>
      </pivotArea>
    </format>
    <format dxfId="76">
      <pivotArea field="6" grandRow="1" outline="0" collapsedLevelsAreSubtotals="1" axis="axisCol" fieldPosition="0">
        <references count="1">
          <reference field="6" count="1" selected="0">
            <x v="6"/>
          </reference>
        </references>
      </pivotArea>
    </format>
    <format dxfId="75">
      <pivotArea field="6" grandRow="1" outline="0" collapsedLevelsAreSubtotals="1" axis="axisCol" fieldPosition="0">
        <references count="1">
          <reference field="6" count="1" selected="0">
            <x v="7"/>
          </reference>
        </references>
      </pivotArea>
    </format>
    <format dxfId="74">
      <pivotArea field="6" grandRow="1" outline="0" collapsedLevelsAreSubtotals="1" axis="axisCol" fieldPosition="0">
        <references count="1">
          <reference field="6" count="1" selected="0">
            <x v="8"/>
          </reference>
        </references>
      </pivotArea>
    </format>
    <format dxfId="73">
      <pivotArea field="6" grandRow="1" outline="0" collapsedLevelsAreSubtotals="1" axis="axisCol" fieldPosition="0">
        <references count="1">
          <reference field="6" count="8" selected="0">
            <x v="8"/>
            <x v="9"/>
            <x v="10"/>
            <x v="11"/>
            <x v="12"/>
            <x v="13"/>
            <x v="14"/>
            <x v="15"/>
          </reference>
        </references>
      </pivotArea>
    </format>
    <format dxfId="72">
      <pivotArea grandRow="1" grandCol="1" outline="0" collapsedLevelsAreSubtotals="1" fieldPosition="0"/>
    </format>
    <format dxfId="71">
      <pivotArea grandRow="1" grandCol="1" outline="0" collapsedLevelsAreSubtotals="1" fieldPosition="0"/>
    </format>
    <format dxfId="70">
      <pivotArea field="6" grandRow="1" outline="0" collapsedLevelsAreSubtotals="1" axis="axisCol" fieldPosition="0">
        <references count="1">
          <reference field="6" count="1" selected="0">
            <x v="15"/>
          </reference>
        </references>
      </pivotArea>
    </format>
    <format dxfId="69">
      <pivotArea field="6" grandRow="1" outline="0" collapsedLevelsAreSubtotals="1" axis="axisCol" fieldPosition="0">
        <references count="1">
          <reference field="6" count="1" selected="0">
            <x v="14"/>
          </reference>
        </references>
      </pivotArea>
    </format>
    <format dxfId="68">
      <pivotArea field="6" grandRow="1" outline="0" collapsedLevelsAreSubtotals="1" axis="axisCol" fieldPosition="0">
        <references count="1">
          <reference field="6" count="1" selected="0">
            <x v="12"/>
          </reference>
        </references>
      </pivotArea>
    </format>
    <format dxfId="67">
      <pivotArea field="6" grandRow="1" outline="0" collapsedLevelsAreSubtotals="1" axis="axisCol" fieldPosition="0">
        <references count="1">
          <reference field="6" count="1" selected="0">
            <x v="13"/>
          </reference>
        </references>
      </pivotArea>
    </format>
    <format dxfId="66">
      <pivotArea field="6" grandRow="1" outline="0" collapsedLevelsAreSubtotals="1" axis="axisCol" fieldPosition="0">
        <references count="1">
          <reference field="6" count="1" selected="0">
            <x v="11"/>
          </reference>
        </references>
      </pivotArea>
    </format>
    <format dxfId="65">
      <pivotArea field="6" grandRow="1" outline="0" collapsedLevelsAreSubtotals="1" axis="axisCol" fieldPosition="0">
        <references count="1">
          <reference field="6" count="1" selected="0">
            <x v="10"/>
          </reference>
        </references>
      </pivotArea>
    </format>
    <format dxfId="64">
      <pivotArea field="6" grandRow="1" outline="0" collapsedLevelsAreSubtotals="1" axis="axisCol" fieldPosition="0">
        <references count="1">
          <reference field="6" count="1" selected="0">
            <x v="9"/>
          </reference>
        </references>
      </pivotArea>
    </format>
    <format dxfId="63">
      <pivotArea field="6" grandRow="1" outline="0" collapsedLevelsAreSubtotals="1" axis="axisCol" fieldPosition="0">
        <references count="1">
          <reference field="6" count="1" selected="0">
            <x v="5"/>
          </reference>
        </references>
      </pivotArea>
    </format>
    <format dxfId="62">
      <pivotArea field="6" grandRow="1" outline="0" collapsedLevelsAreSubtotals="1" axis="axisCol" fieldPosition="0">
        <references count="1">
          <reference field="6" count="1" selected="0">
            <x v="5"/>
          </reference>
        </references>
      </pivotArea>
    </format>
    <format dxfId="61">
      <pivotArea collapsedLevelsAreSubtotals="1" fieldPosition="0">
        <references count="2">
          <reference field="4" count="1">
            <x v="4"/>
          </reference>
          <reference field="6" count="1" selected="0">
            <x v="6"/>
          </reference>
        </references>
      </pivotArea>
    </format>
    <format dxfId="60">
      <pivotArea field="6" grandRow="1" outline="0" collapsedLevelsAreSubtotals="1" axis="axisCol" fieldPosition="0">
        <references count="1">
          <reference field="6" count="1" selected="0">
            <x v="7"/>
          </reference>
        </references>
      </pivotArea>
    </format>
  </formats>
  <chartFormats count="3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series="1">
      <pivotArea type="data" outline="0" fieldPosition="0">
        <references count="2">
          <reference field="4294967294" count="1" selected="0">
            <x v="0"/>
          </reference>
          <reference field="6" count="1" selected="0">
            <x v="7"/>
          </reference>
        </references>
      </pivotArea>
    </chartFormat>
    <chartFormat chart="0" format="8" series="1">
      <pivotArea type="data" outline="0" fieldPosition="0">
        <references count="2">
          <reference field="4294967294" count="1" selected="0">
            <x v="0"/>
          </reference>
          <reference field="6" count="1" selected="0">
            <x v="8"/>
          </reference>
        </references>
      </pivotArea>
    </chartFormat>
    <chartFormat chart="0" format="9" series="1">
      <pivotArea type="data" outline="0" fieldPosition="0">
        <references count="2">
          <reference field="4294967294" count="1" selected="0">
            <x v="0"/>
          </reference>
          <reference field="6" count="1" selected="0">
            <x v="9"/>
          </reference>
        </references>
      </pivotArea>
    </chartFormat>
    <chartFormat chart="0" format="10" series="1">
      <pivotArea type="data" outline="0" fieldPosition="0">
        <references count="2">
          <reference field="4294967294" count="1" selected="0">
            <x v="0"/>
          </reference>
          <reference field="6" count="1" selected="0">
            <x v="10"/>
          </reference>
        </references>
      </pivotArea>
    </chartFormat>
    <chartFormat chart="0" format="11" series="1">
      <pivotArea type="data" outline="0" fieldPosition="0">
        <references count="2">
          <reference field="4294967294" count="1" selected="0">
            <x v="0"/>
          </reference>
          <reference field="6" count="1" selected="0">
            <x v="11"/>
          </reference>
        </references>
      </pivotArea>
    </chartFormat>
    <chartFormat chart="0" format="12" series="1">
      <pivotArea type="data" outline="0" fieldPosition="0">
        <references count="2">
          <reference field="4294967294" count="1" selected="0">
            <x v="0"/>
          </reference>
          <reference field="6" count="1" selected="0">
            <x v="12"/>
          </reference>
        </references>
      </pivotArea>
    </chartFormat>
    <chartFormat chart="0" format="13" series="1">
      <pivotArea type="data" outline="0" fieldPosition="0">
        <references count="2">
          <reference field="4294967294" count="1" selected="0">
            <x v="0"/>
          </reference>
          <reference field="6" count="1" selected="0">
            <x v="13"/>
          </reference>
        </references>
      </pivotArea>
    </chartFormat>
    <chartFormat chart="0" format="14" series="1">
      <pivotArea type="data" outline="0" fieldPosition="0">
        <references count="2">
          <reference field="4294967294" count="1" selected="0">
            <x v="0"/>
          </reference>
          <reference field="6" count="1" selected="0">
            <x v="14"/>
          </reference>
        </references>
      </pivotArea>
    </chartFormat>
    <chartFormat chart="0" format="15" series="1">
      <pivotArea type="data" outline="0" fieldPosition="0">
        <references count="2">
          <reference field="4294967294" count="1" selected="0">
            <x v="0"/>
          </reference>
          <reference field="6" count="1" selected="0">
            <x v="15"/>
          </reference>
        </references>
      </pivotArea>
    </chartFormat>
    <chartFormat chart="0" format="16">
      <pivotArea type="data" outline="0" fieldPosition="0">
        <references count="3">
          <reference field="4294967294" count="1" selected="0">
            <x v="0"/>
          </reference>
          <reference field="4" count="1" selected="0">
            <x v="4"/>
          </reference>
          <reference field="6" count="1" selected="0">
            <x v="0"/>
          </reference>
        </references>
      </pivotArea>
    </chartFormat>
    <chartFormat chart="0" format="17">
      <pivotArea type="data" outline="0" fieldPosition="0">
        <references count="3">
          <reference field="4294967294" count="1" selected="0">
            <x v="0"/>
          </reference>
          <reference field="4" count="1" selected="0">
            <x v="4"/>
          </reference>
          <reference field="6" count="1" selected="0">
            <x v="1"/>
          </reference>
        </references>
      </pivotArea>
    </chartFormat>
    <chartFormat chart="0" format="18">
      <pivotArea type="data" outline="0" fieldPosition="0">
        <references count="3">
          <reference field="4294967294" count="1" selected="0">
            <x v="0"/>
          </reference>
          <reference field="4" count="1" selected="0">
            <x v="4"/>
          </reference>
          <reference field="6" count="1" selected="0">
            <x v="2"/>
          </reference>
        </references>
      </pivotArea>
    </chartFormat>
    <chartFormat chart="0" format="19">
      <pivotArea type="data" outline="0" fieldPosition="0">
        <references count="3">
          <reference field="4294967294" count="1" selected="0">
            <x v="0"/>
          </reference>
          <reference field="4" count="1" selected="0">
            <x v="4"/>
          </reference>
          <reference field="6" count="1" selected="0">
            <x v="3"/>
          </reference>
        </references>
      </pivotArea>
    </chartFormat>
    <chartFormat chart="0" format="20">
      <pivotArea type="data" outline="0" fieldPosition="0">
        <references count="3">
          <reference field="4294967294" count="1" selected="0">
            <x v="0"/>
          </reference>
          <reference field="4" count="1" selected="0">
            <x v="4"/>
          </reference>
          <reference field="6" count="1" selected="0">
            <x v="4"/>
          </reference>
        </references>
      </pivotArea>
    </chartFormat>
    <chartFormat chart="0" format="21">
      <pivotArea type="data" outline="0" fieldPosition="0">
        <references count="3">
          <reference field="4294967294" count="1" selected="0">
            <x v="0"/>
          </reference>
          <reference field="4" count="1" selected="0">
            <x v="4"/>
          </reference>
          <reference field="6" count="1" selected="0">
            <x v="5"/>
          </reference>
        </references>
      </pivotArea>
    </chartFormat>
    <chartFormat chart="0" format="22">
      <pivotArea type="data" outline="0" fieldPosition="0">
        <references count="3">
          <reference field="4294967294" count="1" selected="0">
            <x v="0"/>
          </reference>
          <reference field="4" count="1" selected="0">
            <x v="4"/>
          </reference>
          <reference field="6" count="1" selected="0">
            <x v="6"/>
          </reference>
        </references>
      </pivotArea>
    </chartFormat>
    <chartFormat chart="0" format="23">
      <pivotArea type="data" outline="0" fieldPosition="0">
        <references count="3">
          <reference field="4294967294" count="1" selected="0">
            <x v="0"/>
          </reference>
          <reference field="4" count="1" selected="0">
            <x v="4"/>
          </reference>
          <reference field="6" count="1" selected="0">
            <x v="7"/>
          </reference>
        </references>
      </pivotArea>
    </chartFormat>
    <chartFormat chart="0" format="24">
      <pivotArea type="data" outline="0" fieldPosition="0">
        <references count="3">
          <reference field="4294967294" count="1" selected="0">
            <x v="0"/>
          </reference>
          <reference field="4" count="1" selected="0">
            <x v="4"/>
          </reference>
          <reference field="6" count="1" selected="0">
            <x v="8"/>
          </reference>
        </references>
      </pivotArea>
    </chartFormat>
    <chartFormat chart="0" format="25">
      <pivotArea type="data" outline="0" fieldPosition="0">
        <references count="3">
          <reference field="4294967294" count="1" selected="0">
            <x v="0"/>
          </reference>
          <reference field="4" count="1" selected="0">
            <x v="4"/>
          </reference>
          <reference field="6" count="1" selected="0">
            <x v="9"/>
          </reference>
        </references>
      </pivotArea>
    </chartFormat>
    <chartFormat chart="0" format="26">
      <pivotArea type="data" outline="0" fieldPosition="0">
        <references count="3">
          <reference field="4294967294" count="1" selected="0">
            <x v="0"/>
          </reference>
          <reference field="4" count="1" selected="0">
            <x v="4"/>
          </reference>
          <reference field="6" count="1" selected="0">
            <x v="10"/>
          </reference>
        </references>
      </pivotArea>
    </chartFormat>
    <chartFormat chart="0" format="27">
      <pivotArea type="data" outline="0" fieldPosition="0">
        <references count="3">
          <reference field="4294967294" count="1" selected="0">
            <x v="0"/>
          </reference>
          <reference field="4" count="1" selected="0">
            <x v="4"/>
          </reference>
          <reference field="6" count="1" selected="0">
            <x v="11"/>
          </reference>
        </references>
      </pivotArea>
    </chartFormat>
    <chartFormat chart="0" format="28">
      <pivotArea type="data" outline="0" fieldPosition="0">
        <references count="3">
          <reference field="4294967294" count="1" selected="0">
            <x v="0"/>
          </reference>
          <reference field="4" count="1" selected="0">
            <x v="4"/>
          </reference>
          <reference field="6" count="1" selected="0">
            <x v="12"/>
          </reference>
        </references>
      </pivotArea>
    </chartFormat>
    <chartFormat chart="0" format="29">
      <pivotArea type="data" outline="0" fieldPosition="0">
        <references count="3">
          <reference field="4294967294" count="1" selected="0">
            <x v="0"/>
          </reference>
          <reference field="4" count="1" selected="0">
            <x v="4"/>
          </reference>
          <reference field="6" count="1" selected="0">
            <x v="13"/>
          </reference>
        </references>
      </pivotArea>
    </chartFormat>
    <chartFormat chart="0" format="30">
      <pivotArea type="data" outline="0" fieldPosition="0">
        <references count="3">
          <reference field="4294967294" count="1" selected="0">
            <x v="0"/>
          </reference>
          <reference field="4" count="1" selected="0">
            <x v="4"/>
          </reference>
          <reference field="6" count="1" selected="0">
            <x v="14"/>
          </reference>
        </references>
      </pivotArea>
    </chartFormat>
    <chartFormat chart="0" format="31">
      <pivotArea type="data" outline="0" fieldPosition="0">
        <references count="3">
          <reference field="4294967294" count="1" selected="0">
            <x v="0"/>
          </reference>
          <reference field="4" count="1" selected="0">
            <x v="4"/>
          </reference>
          <reference field="6" count="1" selected="0">
            <x v="15"/>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74F35-42E2-6D4E-9098-0E283EC4C41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colHeaderCaption="Category">
  <location ref="A3:F7" firstHeaderRow="1" firstDataRow="2" firstDataCol="1"/>
  <pivotFields count="15">
    <pivotField showAll="0"/>
    <pivotField showAll="0"/>
    <pivotField showAll="0"/>
    <pivotField axis="axisRow" showAll="0">
      <items count="4">
        <item h="1" x="2"/>
        <item x="0"/>
        <item x="1"/>
        <item t="default"/>
      </items>
    </pivotField>
    <pivotField showAll="0">
      <items count="7">
        <item x="2"/>
        <item x="4"/>
        <item x="1"/>
        <item x="0"/>
        <item x="3"/>
        <item x="5"/>
        <item t="default"/>
      </items>
    </pivotField>
    <pivotField showAll="0"/>
    <pivotField showAll="0"/>
    <pivotField axis="axisCol" showAll="0" sumSubtotal="1">
      <items count="6">
        <item x="2"/>
        <item x="3"/>
        <item x="1"/>
        <item x="0"/>
        <item x="4"/>
        <item t="sum"/>
      </items>
    </pivotField>
    <pivotField showAll="0"/>
    <pivotField showAll="0"/>
    <pivotField showAll="0"/>
    <pivotField showAll="0"/>
    <pivotField showAll="0"/>
    <pivotField showAll="0"/>
    <pivotField dataField="1" numFmtId="164" showAll="0"/>
  </pivotFields>
  <rowFields count="1">
    <field x="3"/>
  </rowFields>
  <rowItems count="3">
    <i>
      <x v="1"/>
    </i>
    <i>
      <x v="2"/>
    </i>
    <i t="grand">
      <x/>
    </i>
  </rowItems>
  <colFields count="1">
    <field x="7"/>
  </colFields>
  <colItems count="5">
    <i>
      <x/>
    </i>
    <i>
      <x v="1"/>
    </i>
    <i>
      <x v="2"/>
    </i>
    <i>
      <x v="3"/>
    </i>
    <i t="grand">
      <x/>
    </i>
  </colItems>
  <dataFields count="1">
    <dataField name="Total Pembayaran" fld="14" baseField="0" baseItem="0" numFmtId="164"/>
  </dataFields>
  <formats count="10">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7" type="button" dataOnly="0" labelOnly="1" outline="0" axis="axisCol" fieldPosition="0"/>
    </format>
    <format dxfId="115">
      <pivotArea type="topRight" dataOnly="0" labelOnly="1" outline="0"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 dxfId="111">
      <pivotArea dataOnly="0" labelOnly="1" fieldPosition="0">
        <references count="1">
          <reference field="7" count="4">
            <x v="0"/>
            <x v="1"/>
            <x v="2"/>
            <x v="3"/>
          </reference>
        </references>
      </pivotArea>
    </format>
    <format dxfId="110">
      <pivotArea dataOnly="0" labelOnly="1" grandCol="1" outline="0" fieldPosition="0"/>
    </format>
  </formats>
  <chartFormats count="5">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141D46-F271-9141-BE94-5728A10E198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omisili" colHeaderCaption="Gender">
  <location ref="A69:D76" firstHeaderRow="1" firstDataRow="2" firstDataCol="1"/>
  <pivotFields count="15">
    <pivotField showAll="0"/>
    <pivotField showAll="0"/>
    <pivotField showAll="0">
      <items count="182">
        <item h="1" x="180"/>
        <item x="80"/>
        <item x="57"/>
        <item x="25"/>
        <item x="128"/>
        <item x="27"/>
        <item x="96"/>
        <item x="150"/>
        <item x="135"/>
        <item x="19"/>
        <item x="131"/>
        <item x="20"/>
        <item x="173"/>
        <item x="165"/>
        <item x="143"/>
        <item x="178"/>
        <item x="12"/>
        <item x="5"/>
        <item x="101"/>
        <item x="169"/>
        <item x="41"/>
        <item x="154"/>
        <item x="121"/>
        <item x="160"/>
        <item x="162"/>
        <item x="36"/>
        <item x="35"/>
        <item x="97"/>
        <item x="129"/>
        <item x="112"/>
        <item x="16"/>
        <item x="70"/>
        <item x="105"/>
        <item x="125"/>
        <item x="174"/>
        <item x="38"/>
        <item x="78"/>
        <item x="83"/>
        <item x="139"/>
        <item x="127"/>
        <item x="130"/>
        <item x="144"/>
        <item x="122"/>
        <item x="177"/>
        <item x="81"/>
        <item x="84"/>
        <item x="159"/>
        <item x="85"/>
        <item x="82"/>
        <item x="87"/>
        <item x="86"/>
        <item x="79"/>
        <item x="74"/>
        <item x="58"/>
        <item x="54"/>
        <item x="142"/>
        <item x="138"/>
        <item x="66"/>
        <item x="44"/>
        <item x="164"/>
        <item x="88"/>
        <item x="17"/>
        <item x="114"/>
        <item x="89"/>
        <item x="53"/>
        <item x="98"/>
        <item x="76"/>
        <item x="106"/>
        <item x="42"/>
        <item x="23"/>
        <item x="24"/>
        <item x="9"/>
        <item x="157"/>
        <item x="110"/>
        <item x="21"/>
        <item x="167"/>
        <item x="22"/>
        <item x="62"/>
        <item x="115"/>
        <item x="34"/>
        <item x="151"/>
        <item x="90"/>
        <item x="171"/>
        <item x="1"/>
        <item x="132"/>
        <item x="10"/>
        <item x="63"/>
        <item x="123"/>
        <item x="172"/>
        <item x="124"/>
        <item x="158"/>
        <item x="69"/>
        <item x="119"/>
        <item x="116"/>
        <item x="118"/>
        <item x="141"/>
        <item x="14"/>
        <item x="103"/>
        <item x="155"/>
        <item x="117"/>
        <item x="28"/>
        <item x="145"/>
        <item x="137"/>
        <item x="31"/>
        <item x="134"/>
        <item x="71"/>
        <item x="153"/>
        <item x="30"/>
        <item x="166"/>
        <item x="64"/>
        <item x="33"/>
        <item x="109"/>
        <item x="72"/>
        <item x="32"/>
        <item x="94"/>
        <item x="13"/>
        <item x="18"/>
        <item x="4"/>
        <item x="179"/>
        <item x="91"/>
        <item x="3"/>
        <item x="39"/>
        <item x="147"/>
        <item x="136"/>
        <item x="111"/>
        <item x="168"/>
        <item x="95"/>
        <item x="15"/>
        <item x="148"/>
        <item x="140"/>
        <item x="68"/>
        <item x="133"/>
        <item x="48"/>
        <item x="50"/>
        <item x="65"/>
        <item x="8"/>
        <item x="92"/>
        <item x="40"/>
        <item x="2"/>
        <item x="93"/>
        <item x="163"/>
        <item x="29"/>
        <item x="170"/>
        <item x="37"/>
        <item x="75"/>
        <item x="120"/>
        <item x="175"/>
        <item x="176"/>
        <item x="73"/>
        <item x="161"/>
        <item x="46"/>
        <item x="61"/>
        <item x="11"/>
        <item x="47"/>
        <item x="100"/>
        <item x="56"/>
        <item x="126"/>
        <item x="51"/>
        <item x="0"/>
        <item x="7"/>
        <item x="146"/>
        <item x="55"/>
        <item x="152"/>
        <item x="77"/>
        <item x="67"/>
        <item x="26"/>
        <item x="113"/>
        <item x="149"/>
        <item x="104"/>
        <item x="45"/>
        <item x="52"/>
        <item x="99"/>
        <item x="59"/>
        <item x="49"/>
        <item x="156"/>
        <item x="6"/>
        <item x="60"/>
        <item x="43"/>
        <item x="102"/>
        <item x="107"/>
        <item x="108"/>
        <item t="default"/>
      </items>
    </pivotField>
    <pivotField axis="axisCol" showAll="0">
      <items count="4">
        <item x="0"/>
        <item x="1"/>
        <item h="1" x="2"/>
        <item t="default"/>
      </items>
    </pivotField>
    <pivotField axis="axisRow" showAll="0">
      <items count="7">
        <item x="2"/>
        <item x="4"/>
        <item x="1"/>
        <item x="0"/>
        <item x="3"/>
        <item x="5"/>
        <item t="default"/>
      </items>
    </pivotField>
    <pivotField showAll="0"/>
    <pivotField showAll="0"/>
    <pivotField showAll="0">
      <items count="6">
        <item x="2"/>
        <item x="3"/>
        <item x="1"/>
        <item x="0"/>
        <item x="4"/>
        <item t="default"/>
      </items>
    </pivotField>
    <pivotField showAll="0"/>
    <pivotField showAll="0"/>
    <pivotField showAll="0"/>
    <pivotField showAll="0"/>
    <pivotField showAll="0"/>
    <pivotField dataField="1" showAll="0"/>
    <pivotField numFmtId="164" showAll="0"/>
  </pivotFields>
  <rowFields count="1">
    <field x="4"/>
  </rowFields>
  <rowItems count="6">
    <i>
      <x/>
    </i>
    <i>
      <x v="1"/>
    </i>
    <i>
      <x v="2"/>
    </i>
    <i>
      <x v="3"/>
    </i>
    <i>
      <x v="4"/>
    </i>
    <i t="grand">
      <x/>
    </i>
  </rowItems>
  <colFields count="1">
    <field x="3"/>
  </colFields>
  <colItems count="3">
    <i>
      <x/>
    </i>
    <i>
      <x v="1"/>
    </i>
    <i t="grand">
      <x/>
    </i>
  </colItems>
  <dataFields count="1">
    <dataField name="Membership" fld="13" subtotal="count" baseField="0" baseItem="0"/>
  </dataFields>
  <formats count="19">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4" type="button" dataOnly="0" labelOnly="1" outline="0" axis="axisRow" fieldPosition="0"/>
    </format>
    <format dxfId="134">
      <pivotArea type="topRight" dataOnly="0" labelOnly="1" outline="0" fieldPosition="0"/>
    </format>
    <format dxfId="133">
      <pivotArea field="2" type="button" dataOnly="0" labelOnly="1" outline="0"/>
    </format>
    <format dxfId="132">
      <pivotArea dataOnly="0" labelOnly="1" grandRow="1" outline="0" fieldPosition="0"/>
    </format>
    <format dxfId="131">
      <pivotArea dataOnly="0" labelOnly="1" fieldPosition="0">
        <references count="1">
          <reference field="4" count="0"/>
        </references>
      </pivotArea>
    </format>
    <format dxfId="130">
      <pivotArea dataOnly="0" labelOnly="1" grandCol="1" outline="0" fieldPosition="0"/>
    </format>
    <format dxfId="129">
      <pivotArea grandRow="1" outline="0" collapsedLevelsAreSubtotals="1" fieldPosition="0"/>
    </format>
    <format dxfId="128">
      <pivotArea dataOnly="0" labelOnly="1" grandRow="1" outline="0" fieldPosition="0"/>
    </format>
    <format dxfId="127">
      <pivotArea grandRow="1" outline="0" collapsedLevelsAreSubtotals="1" fieldPosition="0"/>
    </format>
    <format dxfId="126">
      <pivotArea dataOnly="0" labelOnly="1" grandRow="1" outline="0" fieldPosition="0"/>
    </format>
    <format dxfId="125">
      <pivotArea field="4" grandCol="1" outline="0" collapsedLevelsAreSubtotals="1" axis="axisRow" fieldPosition="0">
        <references count="1">
          <reference field="4" count="4" selected="0">
            <x v="0"/>
            <x v="1"/>
            <x v="2"/>
            <x v="3"/>
          </reference>
        </references>
      </pivotArea>
    </format>
    <format dxfId="124">
      <pivotArea dataOnly="0" labelOnly="1" grandRow="1" outline="0" fieldPosition="0"/>
    </format>
    <format dxfId="123">
      <pivotArea grandRow="1" outline="0" collapsedLevelsAreSubtotals="1" fieldPosition="0"/>
    </format>
    <format dxfId="122">
      <pivotArea dataOnly="0" labelOnly="1" grandRow="1" outline="0" fieldPosition="0"/>
    </format>
    <format dxfId="121">
      <pivotArea grandRow="1" outline="0" collapsedLevelsAreSubtotals="1" fieldPosition="0"/>
    </format>
    <format dxfId="120">
      <pivotArea dataOnly="0" labelOnly="1" grandRow="1" outline="0" fieldPosition="0"/>
    </format>
  </formats>
  <chartFormats count="2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185" series="1">
      <pivotArea type="data" outline="0" fieldPosition="0">
        <references count="2">
          <reference field="4294967294" count="1" selected="0">
            <x v="0"/>
          </reference>
          <reference field="4" count="1" selected="0">
            <x v="5"/>
          </reference>
        </references>
      </pivotArea>
    </chartFormat>
    <chartFormat chart="0" format="186" series="1">
      <pivotArea type="data" outline="0" fieldPosition="0">
        <references count="1">
          <reference field="4294967294" count="1" selected="0">
            <x v="0"/>
          </reference>
        </references>
      </pivotArea>
    </chartFormat>
    <chartFormat chart="0" format="187" series="1">
      <pivotArea type="data" outline="0" fieldPosition="0">
        <references count="2">
          <reference field="4294967294" count="1" selected="0">
            <x v="0"/>
          </reference>
          <reference field="3" count="1" selected="0">
            <x v="1"/>
          </reference>
        </references>
      </pivotArea>
    </chartFormat>
    <chartFormat chart="0" format="188" series="1">
      <pivotArea type="data" outline="0" fieldPosition="0">
        <references count="2">
          <reference field="4294967294" count="1" selected="0">
            <x v="0"/>
          </reference>
          <reference field="3" count="1" selected="0">
            <x v="2"/>
          </reference>
        </references>
      </pivotArea>
    </chartFormat>
    <chartFormat chart="0" format="189" series="1">
      <pivotArea type="data" outline="0" fieldPosition="0">
        <references count="2">
          <reference field="4294967294" count="1" selected="0">
            <x v="0"/>
          </reference>
          <reference field="3" count="1" selected="0">
            <x v="0"/>
          </reference>
        </references>
      </pivotArea>
    </chartFormat>
    <chartFormat chart="0" format="190">
      <pivotArea type="data" outline="0" fieldPosition="0">
        <references count="3">
          <reference field="4294967294" count="1" selected="0">
            <x v="0"/>
          </reference>
          <reference field="3" count="1" selected="0">
            <x v="0"/>
          </reference>
          <reference field="4" count="1" selected="0">
            <x v="0"/>
          </reference>
        </references>
      </pivotArea>
    </chartFormat>
    <chartFormat chart="0" format="191">
      <pivotArea type="data" outline="0" fieldPosition="0">
        <references count="3">
          <reference field="4294967294" count="1" selected="0">
            <x v="0"/>
          </reference>
          <reference field="3" count="1" selected="0">
            <x v="0"/>
          </reference>
          <reference field="4" count="1" selected="0">
            <x v="1"/>
          </reference>
        </references>
      </pivotArea>
    </chartFormat>
    <chartFormat chart="0" format="192">
      <pivotArea type="data" outline="0" fieldPosition="0">
        <references count="3">
          <reference field="4294967294" count="1" selected="0">
            <x v="0"/>
          </reference>
          <reference field="3" count="1" selected="0">
            <x v="0"/>
          </reference>
          <reference field="4" count="1" selected="0">
            <x v="2"/>
          </reference>
        </references>
      </pivotArea>
    </chartFormat>
    <chartFormat chart="0" format="193">
      <pivotArea type="data" outline="0" fieldPosition="0">
        <references count="3">
          <reference field="4294967294" count="1" selected="0">
            <x v="0"/>
          </reference>
          <reference field="3" count="1" selected="0">
            <x v="0"/>
          </reference>
          <reference field="4" count="1" selected="0">
            <x v="3"/>
          </reference>
        </references>
      </pivotArea>
    </chartFormat>
    <chartFormat chart="0" format="194">
      <pivotArea type="data" outline="0" fieldPosition="0">
        <references count="3">
          <reference field="4294967294" count="1" selected="0">
            <x v="0"/>
          </reference>
          <reference field="3" count="1" selected="0">
            <x v="0"/>
          </reference>
          <reference field="4" count="1" selected="0">
            <x v="4"/>
          </reference>
        </references>
      </pivotArea>
    </chartFormat>
    <chartFormat chart="0" format="195">
      <pivotArea type="data" outline="0" fieldPosition="0">
        <references count="3">
          <reference field="4294967294" count="1" selected="0">
            <x v="0"/>
          </reference>
          <reference field="3" count="1" selected="0">
            <x v="1"/>
          </reference>
          <reference field="4" count="1" selected="0">
            <x v="0"/>
          </reference>
        </references>
      </pivotArea>
    </chartFormat>
    <chartFormat chart="0" format="196">
      <pivotArea type="data" outline="0" fieldPosition="0">
        <references count="3">
          <reference field="4294967294" count="1" selected="0">
            <x v="0"/>
          </reference>
          <reference field="3" count="1" selected="0">
            <x v="1"/>
          </reference>
          <reference field="4" count="1" selected="0">
            <x v="1"/>
          </reference>
        </references>
      </pivotArea>
    </chartFormat>
    <chartFormat chart="0" format="197">
      <pivotArea type="data" outline="0" fieldPosition="0">
        <references count="3">
          <reference field="4294967294" count="1" selected="0">
            <x v="0"/>
          </reference>
          <reference field="3" count="1" selected="0">
            <x v="1"/>
          </reference>
          <reference field="4" count="1" selected="0">
            <x v="2"/>
          </reference>
        </references>
      </pivotArea>
    </chartFormat>
    <chartFormat chart="0" format="198">
      <pivotArea type="data" outline="0" fieldPosition="0">
        <references count="3">
          <reference field="4294967294" count="1" selected="0">
            <x v="0"/>
          </reference>
          <reference field="3" count="1" selected="0">
            <x v="1"/>
          </reference>
          <reference field="4" count="1" selected="0">
            <x v="3"/>
          </reference>
        </references>
      </pivotArea>
    </chartFormat>
    <chartFormat chart="0" format="199">
      <pivotArea type="data" outline="0" fieldPosition="0">
        <references count="3">
          <reference field="4294967294" count="1" selected="0">
            <x v="0"/>
          </reference>
          <reference field="3" count="1" selected="0">
            <x v="1"/>
          </reference>
          <reference field="4" count="1" selected="0">
            <x v="4"/>
          </reference>
        </references>
      </pivotArea>
    </chartFormat>
  </chartFormat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micile" xr10:uid="{3BF1C04A-C3E3-0640-9ED8-1ABF41B48526}" sourceName="Domicile">
  <pivotTables>
    <pivotTable tabId="11" name="PivotTable6"/>
    <pivotTable tabId="11" name="PivotTable10"/>
    <pivotTable tabId="11" name="PivotTable7"/>
    <pivotTable tabId="11" name="PivotTable9"/>
  </pivotTables>
  <data>
    <tabular pivotCacheId="1675292494">
      <items count="6">
        <i x="2" s="1"/>
        <i x="4" s="1"/>
        <i x="1" s="1"/>
        <i x="0" s="1"/>
        <i x="3"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7E3A5E-C7C2-2C4E-AAAE-4BAAA51AED08}" sourceName="Category">
  <pivotTables>
    <pivotTable tabId="11" name="PivotTable6"/>
    <pivotTable tabId="11" name="PivotTable10"/>
    <pivotTable tabId="11" name="PivotTable7"/>
    <pivotTable tabId="11" name="PivotTable9"/>
  </pivotTables>
  <data>
    <tabular pivotCacheId="1675292494">
      <items count="5">
        <i x="2" s="1"/>
        <i x="3" s="1"/>
        <i x="1" s="1"/>
        <i x="0"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7E1B3A-EB1C-DF46-BBD6-9E00D5519375}" sourceName="Gender">
  <pivotTables>
    <pivotTable tabId="11" name="PivotTable6"/>
    <pivotTable tabId="11" name="PivotTable10"/>
    <pivotTable tabId="11" name="PivotTable7"/>
    <pivotTable tabId="11" name="PivotTable9"/>
  </pivotTables>
  <data>
    <tabular pivotCacheId="1675292494">
      <items count="3">
        <i x="0" s="1"/>
        <i x="1" s="1"/>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micile" xr10:uid="{211316B4-C91D-2B49-AF4E-80B42671B2E2}" cache="Slicer_Domicile" caption="Domicile" rowHeight="251883"/>
  <slicer name="Category" xr10:uid="{E20B12C8-2713-2346-97C5-C6135C800FFD}" cache="Slicer_Category" caption="Category" rowHeight="251883"/>
  <slicer name="Gender" xr10:uid="{0A2FC7A7-4D6A-6A40-97A1-3EAA39FCFFE8}"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B995E7-B66B-E946-A856-39F72284E4E0}" name="Table1316" displayName="Table1316" ref="O4:U185" totalsRowCount="1" headerRowDxfId="41" dataDxfId="40">
  <autoFilter ref="O4:U184" xr:uid="{F7B995E7-B66B-E946-A856-39F72284E4E0}"/>
  <tableColumns count="7">
    <tableColumn id="1" xr3:uid="{E9FBA8AA-0FF0-6347-A3DE-9167B5727377}" name="Product ID" dataDxfId="39" totalsRowDxfId="38"/>
    <tableColumn id="2" xr3:uid="{6ADA956C-1229-8844-9147-53C82CBE7F9E}" name="Category" dataDxfId="37" totalsRowDxfId="36"/>
    <tableColumn id="3" xr3:uid="{20C87A79-03A1-D14D-AB2F-6EB59056D73B}" name="Name of Product" dataDxfId="35" totalsRowDxfId="34"/>
    <tableColumn id="4" xr3:uid="{016B3CFB-5698-CA4E-A204-9F2E91D41FC5}" name="Quantity " totalsRowFunction="custom" dataDxfId="33" totalsRowDxfId="32">
      <totalsRowFormula>SUM(R5:R184)</totalsRowFormula>
    </tableColumn>
    <tableColumn id="5" xr3:uid="{BDDC7982-DD1D-744D-87BB-EBF59004555D}" name="Price item" dataDxfId="31" totalsRowDxfId="30">
      <calculatedColumnFormula>INDEX('Master (Filled)'!$Z$8:$Z$37,MATCH(Q5,'Master (Filled)'!$Y$8:$Y$37,0))</calculatedColumnFormula>
    </tableColumn>
    <tableColumn id="6" xr3:uid="{E79A594E-BAEA-F144-A33D-3C667694EF3C}" name="Tax" dataDxfId="29" totalsRowDxfId="28">
      <calculatedColumnFormula>IF(R5&gt;8,3%,2%)</calculatedColumnFormula>
    </tableColumn>
    <tableColumn id="7" xr3:uid="{945B44DB-FDEE-CA48-AC85-77A84C9F486C}" name="Total Payment" totalsRowFunction="custom" dataDxfId="27" totalsRowDxfId="26">
      <calculatedColumnFormula>(R5*S5)-(S5*T5)</calculatedColumnFormula>
      <totalsRowFormula>SUM(U5:U184)</totalsRow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0682A7-AB86-E546-A601-A3AFB010EA15}" name="Table1417" displayName="Table1417" ref="V4:Y184" totalsRowShown="0" headerRowDxfId="25" dataDxfId="24">
  <autoFilter ref="V4:Y184" xr:uid="{A40682A7-AB86-E546-A601-A3AFB010EA15}"/>
  <tableColumns count="4">
    <tableColumn id="1" xr3:uid="{71C4D0C3-AFB5-BC4C-905F-30C2ECD5C769}" name="Category" dataDxfId="23"/>
    <tableColumn id="2" xr3:uid="{D8A07190-0A23-5645-B1DD-ADCC1A43EA58}" name="Inventory" dataDxfId="22">
      <calculatedColumnFormula>IF(Q5="Food Product",700,IF(Q5="Non Food Product",900,IF(Q5="General Merchandise Product",855,755)))</calculatedColumnFormula>
    </tableColumn>
    <tableColumn id="3" xr3:uid="{85D31727-1D34-D04B-A731-89916BC5B4E0}" name="Update " dataDxfId="21">
      <calculatedColumnFormula>SUMIF(Table1316[Category],Table1417[[#This Row],[Category]],Table1316[[Quantity ]])</calculatedColumnFormula>
    </tableColumn>
    <tableColumn id="4" xr3:uid="{9B6C44C0-E6E6-B04D-A217-0A4F3BAFB059}" name="Total Product" dataDxfId="20">
      <calculatedColumnFormula>Table1417[[#This Row],[Inventory]]-Table1417[[#This Row],[Update ]]</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9449C6-0E20-E944-8792-0A28DE504BD5}" name="Table14174" displayName="Table14174" ref="I1:L181" totalsRowShown="0" headerRowDxfId="19" dataDxfId="18">
  <autoFilter ref="I1:L181" xr:uid="{889449C6-0E20-E944-8792-0A28DE504BD5}"/>
  <tableColumns count="4">
    <tableColumn id="1" xr3:uid="{B8C9D085-7662-2140-8304-8E56C20CBF6E}" name="Category" dataDxfId="17"/>
    <tableColumn id="2" xr3:uid="{73CCC8D8-4789-BA42-B83D-1C4E2156EC8C}" name="Inventory" dataDxfId="16">
      <calculatedColumnFormula>IF(D2="Food Product",700,IF(D2="Non Food Product",900,IF(D2="General Merchandise Product",855,755)))</calculatedColumnFormula>
    </tableColumn>
    <tableColumn id="3" xr3:uid="{5E056056-D2F7-8447-B485-3747778DF929}" name="Update " dataDxfId="15">
      <calculatedColumnFormula>SUMIF(Table1316[Category],Table14174[[#This Row],[Category]],Table1316[[Quantity ]])</calculatedColumnFormula>
    </tableColumn>
    <tableColumn id="4" xr3:uid="{AFCF5E77-32F8-1D4C-9F44-17B34C2C7511}" name="Total Product" dataDxfId="14">
      <calculatedColumnFormula>Table14174[[#This Row],[Inventory]]-Table14174[[#This Row],[Update ]]</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96A53D-421C-954F-941E-4D907867E762}" name="Table4" displayName="Table4" ref="B1:H181" totalsRowShown="0" headerRowDxfId="13">
  <autoFilter ref="B1:H181" xr:uid="{87F1D588-1A3F-FA4D-B274-10243AA94811}"/>
  <tableColumns count="7">
    <tableColumn id="1" xr3:uid="{587FC121-9861-AA42-85BA-D8292CCA1195}" name="Product ID" dataDxfId="12"/>
    <tableColumn id="2" xr3:uid="{4A004E58-70B0-2A47-B1A2-912D75CB767A}" name="Category" dataDxfId="11"/>
    <tableColumn id="3" xr3:uid="{7322D254-38C6-F241-A808-A08B1C81AC2B}" name="Name of Product" dataDxfId="10"/>
    <tableColumn id="4" xr3:uid="{664DF42C-7394-3146-8711-1525A0D7F594}" name="Quantity " dataDxfId="9"/>
    <tableColumn id="5" xr3:uid="{3BBBCC1F-2297-AD4D-8605-D303023EAEE6}" name="Price item" dataDxfId="8">
      <calculatedColumnFormula>INDEX('Master (Filled)'!$Z$8:$Z$37,MATCH(D2,'Master (Filled)'!$Y$8:$Y$37,0))</calculatedColumnFormula>
    </tableColumn>
    <tableColumn id="6" xr3:uid="{58601062-9795-1D43-8DAB-F6AC8B8E7FB5}" name="Tax" dataDxfId="7">
      <calculatedColumnFormula>IF(E2&gt;8,3%,2%)</calculatedColumnFormula>
    </tableColumn>
    <tableColumn id="7" xr3:uid="{89A68401-308A-B542-B9D8-B845EF016011}" name="Total Payment" dataDxfId="6">
      <calculatedColumnFormula>(E2*F2)-(F2*G2)</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7F93E7-6A95-0B4D-A95C-A0D26DAF564C}" name="Table5" displayName="Table5" ref="A1:A181" totalsRowShown="0" headerRowDxfId="5" dataDxfId="3" headerRowBorderDxfId="4" tableBorderDxfId="2" totalsRowBorderDxfId="1">
  <autoFilter ref="A1:A181" xr:uid="{D17F93E7-6A95-0B4D-A95C-A0D26DAF564C}"/>
  <tableColumns count="1">
    <tableColumn id="1" xr3:uid="{84051C46-FD8F-F643-8582-4C3D5BC67F49}" name="Input Date"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5F070-0EAF-634C-A227-090904E23574}">
  <dimension ref="A3:O186"/>
  <sheetViews>
    <sheetView zoomScale="57" zoomScaleNormal="100" workbookViewId="0">
      <selection activeCell="E39" sqref="E39"/>
    </sheetView>
  </sheetViews>
  <sheetFormatPr baseColWidth="10" defaultRowHeight="16" x14ac:dyDescent="0.2"/>
  <cols>
    <col min="2" max="2" width="16.6640625" customWidth="1"/>
    <col min="3" max="3" width="29.1640625" customWidth="1"/>
    <col min="5" max="5" width="24.1640625" customWidth="1"/>
    <col min="7" max="7" width="15.1640625" customWidth="1"/>
    <col min="8" max="8" width="25.5" customWidth="1"/>
    <col min="9" max="9" width="38.33203125" customWidth="1"/>
    <col min="10" max="10" width="24.1640625" customWidth="1"/>
    <col min="12" max="12" width="26.5" customWidth="1"/>
    <col min="13" max="13" width="27.5" customWidth="1"/>
    <col min="14" max="14" width="27.83203125" customWidth="1"/>
    <col min="15" max="15" width="30.33203125" customWidth="1"/>
  </cols>
  <sheetData>
    <row r="3" spans="1:15" ht="40" customHeight="1" x14ac:dyDescent="0.2">
      <c r="A3" s="1"/>
      <c r="B3" s="128" t="s">
        <v>0</v>
      </c>
      <c r="C3" s="128"/>
      <c r="D3" s="128"/>
      <c r="E3" s="128"/>
      <c r="F3" s="128"/>
      <c r="G3" s="128"/>
      <c r="H3" s="128"/>
      <c r="I3" s="128"/>
      <c r="J3" s="128"/>
      <c r="K3" s="128"/>
      <c r="L3" s="128"/>
      <c r="M3" s="128"/>
      <c r="N3" s="1"/>
      <c r="O3" s="1"/>
    </row>
    <row r="4" spans="1:15" ht="34" x14ac:dyDescent="0.2">
      <c r="A4" s="11" t="s">
        <v>273</v>
      </c>
      <c r="B4" s="11" t="s">
        <v>1</v>
      </c>
      <c r="C4" s="11" t="s">
        <v>2</v>
      </c>
      <c r="D4" s="11" t="s">
        <v>3</v>
      </c>
      <c r="E4" s="11" t="s">
        <v>4</v>
      </c>
      <c r="F4" s="11" t="s">
        <v>5</v>
      </c>
      <c r="G4" s="11" t="s">
        <v>6</v>
      </c>
      <c r="H4" s="11" t="s">
        <v>7</v>
      </c>
      <c r="I4" s="11" t="s">
        <v>8</v>
      </c>
      <c r="J4" s="11" t="s">
        <v>9</v>
      </c>
      <c r="K4" s="11" t="s">
        <v>10</v>
      </c>
      <c r="L4" s="12" t="s">
        <v>11</v>
      </c>
      <c r="M4" s="11" t="s">
        <v>12</v>
      </c>
      <c r="N4" s="11" t="s">
        <v>13</v>
      </c>
      <c r="O4" s="11" t="s">
        <v>14</v>
      </c>
    </row>
    <row r="5" spans="1:15" ht="17" x14ac:dyDescent="0.2">
      <c r="A5" s="2">
        <v>1</v>
      </c>
      <c r="B5" s="3">
        <v>44959</v>
      </c>
      <c r="C5" s="4" t="s">
        <v>15</v>
      </c>
      <c r="D5" s="4" t="s">
        <v>16</v>
      </c>
      <c r="E5" s="2" t="s">
        <v>17</v>
      </c>
      <c r="F5" s="5" t="s">
        <v>18</v>
      </c>
      <c r="G5" s="5" t="s">
        <v>19</v>
      </c>
      <c r="H5" s="5"/>
      <c r="I5" s="5" t="s">
        <v>20</v>
      </c>
      <c r="J5" s="2"/>
      <c r="K5" s="5">
        <v>5</v>
      </c>
      <c r="L5" s="6"/>
      <c r="M5" s="7"/>
      <c r="N5" s="2"/>
      <c r="O5" s="6"/>
    </row>
    <row r="6" spans="1:15" ht="17" x14ac:dyDescent="0.2">
      <c r="A6" s="2">
        <v>2</v>
      </c>
      <c r="B6" s="3">
        <v>44959</v>
      </c>
      <c r="C6" s="4" t="s">
        <v>21</v>
      </c>
      <c r="D6" s="4" t="s">
        <v>16</v>
      </c>
      <c r="E6" s="2" t="s">
        <v>22</v>
      </c>
      <c r="F6" s="5" t="s">
        <v>23</v>
      </c>
      <c r="G6" s="5" t="s">
        <v>24</v>
      </c>
      <c r="H6" s="5"/>
      <c r="I6" s="5" t="s">
        <v>25</v>
      </c>
      <c r="J6" s="2"/>
      <c r="K6" s="5">
        <v>8</v>
      </c>
      <c r="L6" s="6"/>
      <c r="M6" s="7"/>
      <c r="N6" s="2"/>
      <c r="O6" s="6"/>
    </row>
    <row r="7" spans="1:15" ht="17" x14ac:dyDescent="0.2">
      <c r="A7" s="2">
        <v>3</v>
      </c>
      <c r="B7" s="3">
        <v>44959</v>
      </c>
      <c r="C7" s="4" t="s">
        <v>26</v>
      </c>
      <c r="D7" s="4" t="s">
        <v>16</v>
      </c>
      <c r="E7" s="2" t="s">
        <v>27</v>
      </c>
      <c r="F7" s="5" t="s">
        <v>28</v>
      </c>
      <c r="G7" s="5" t="s">
        <v>19</v>
      </c>
      <c r="H7" s="5"/>
      <c r="I7" s="5" t="s">
        <v>20</v>
      </c>
      <c r="J7" s="2"/>
      <c r="K7" s="5">
        <v>8</v>
      </c>
      <c r="L7" s="6"/>
      <c r="M7" s="7"/>
      <c r="N7" s="2"/>
      <c r="O7" s="6"/>
    </row>
    <row r="8" spans="1:15" ht="17" x14ac:dyDescent="0.2">
      <c r="A8" s="2">
        <v>4</v>
      </c>
      <c r="B8" s="3">
        <v>44959</v>
      </c>
      <c r="C8" s="4" t="s">
        <v>29</v>
      </c>
      <c r="D8" s="4" t="s">
        <v>16</v>
      </c>
      <c r="E8" s="2" t="s">
        <v>22</v>
      </c>
      <c r="F8" s="5" t="s">
        <v>30</v>
      </c>
      <c r="G8" s="5" t="s">
        <v>31</v>
      </c>
      <c r="H8" s="5"/>
      <c r="I8" s="5" t="s">
        <v>32</v>
      </c>
      <c r="J8" s="2"/>
      <c r="K8" s="5">
        <v>2</v>
      </c>
      <c r="L8" s="6"/>
      <c r="M8" s="7"/>
      <c r="N8" s="2"/>
      <c r="O8" s="6"/>
    </row>
    <row r="9" spans="1:15" ht="17" x14ac:dyDescent="0.2">
      <c r="A9" s="2">
        <v>5</v>
      </c>
      <c r="B9" s="3">
        <v>44959</v>
      </c>
      <c r="C9" s="4" t="s">
        <v>33</v>
      </c>
      <c r="D9" s="4" t="s">
        <v>34</v>
      </c>
      <c r="E9" s="2" t="s">
        <v>17</v>
      </c>
      <c r="F9" s="5" t="s">
        <v>35</v>
      </c>
      <c r="G9" s="5" t="s">
        <v>36</v>
      </c>
      <c r="H9" s="5"/>
      <c r="I9" s="5" t="s">
        <v>37</v>
      </c>
      <c r="J9" s="2"/>
      <c r="K9" s="5">
        <v>2</v>
      </c>
      <c r="L9" s="6"/>
      <c r="M9" s="7"/>
      <c r="N9" s="2"/>
      <c r="O9" s="6"/>
    </row>
    <row r="10" spans="1:15" ht="17" x14ac:dyDescent="0.2">
      <c r="A10" s="2">
        <v>6</v>
      </c>
      <c r="B10" s="3">
        <v>44959</v>
      </c>
      <c r="C10" s="4" t="s">
        <v>38</v>
      </c>
      <c r="D10" s="4" t="s">
        <v>34</v>
      </c>
      <c r="E10" s="2" t="s">
        <v>17</v>
      </c>
      <c r="F10" s="5" t="s">
        <v>39</v>
      </c>
      <c r="G10" s="5" t="s">
        <v>40</v>
      </c>
      <c r="H10" s="5"/>
      <c r="I10" s="5" t="s">
        <v>41</v>
      </c>
      <c r="J10" s="2"/>
      <c r="K10" s="5">
        <v>2</v>
      </c>
      <c r="L10" s="6"/>
      <c r="M10" s="7"/>
      <c r="N10" s="2"/>
      <c r="O10" s="6"/>
    </row>
    <row r="11" spans="1:15" ht="17" x14ac:dyDescent="0.2">
      <c r="A11" s="2">
        <v>7</v>
      </c>
      <c r="B11" s="3">
        <v>44959</v>
      </c>
      <c r="C11" s="4" t="s">
        <v>42</v>
      </c>
      <c r="D11" s="4" t="s">
        <v>16</v>
      </c>
      <c r="E11" s="2" t="s">
        <v>17</v>
      </c>
      <c r="F11" s="5" t="s">
        <v>43</v>
      </c>
      <c r="G11" s="5" t="s">
        <v>40</v>
      </c>
      <c r="H11" s="5"/>
      <c r="I11" s="5" t="s">
        <v>41</v>
      </c>
      <c r="J11" s="2"/>
      <c r="K11" s="5">
        <v>3</v>
      </c>
      <c r="L11" s="6"/>
      <c r="M11" s="7"/>
      <c r="N11" s="2"/>
      <c r="O11" s="6"/>
    </row>
    <row r="12" spans="1:15" ht="17" x14ac:dyDescent="0.2">
      <c r="A12" s="2">
        <v>8</v>
      </c>
      <c r="B12" s="3">
        <v>44960</v>
      </c>
      <c r="C12" s="4" t="s">
        <v>44</v>
      </c>
      <c r="D12" s="4" t="s">
        <v>16</v>
      </c>
      <c r="E12" s="2" t="s">
        <v>17</v>
      </c>
      <c r="F12" s="5" t="s">
        <v>45</v>
      </c>
      <c r="G12" s="5" t="s">
        <v>46</v>
      </c>
      <c r="H12" s="5"/>
      <c r="I12" s="5" t="s">
        <v>37</v>
      </c>
      <c r="J12" s="2"/>
      <c r="K12" s="5">
        <v>4</v>
      </c>
      <c r="L12" s="6"/>
      <c r="M12" s="7"/>
      <c r="N12" s="2"/>
      <c r="O12" s="6"/>
    </row>
    <row r="13" spans="1:15" ht="17" x14ac:dyDescent="0.2">
      <c r="A13" s="2">
        <v>9</v>
      </c>
      <c r="B13" s="3">
        <v>44960</v>
      </c>
      <c r="C13" s="4" t="s">
        <v>47</v>
      </c>
      <c r="D13" s="4" t="s">
        <v>16</v>
      </c>
      <c r="E13" s="2" t="s">
        <v>48</v>
      </c>
      <c r="F13" s="5" t="s">
        <v>49</v>
      </c>
      <c r="G13" s="5" t="s">
        <v>36</v>
      </c>
      <c r="H13" s="5"/>
      <c r="I13" s="5" t="s">
        <v>37</v>
      </c>
      <c r="J13" s="2"/>
      <c r="K13" s="5">
        <v>4</v>
      </c>
      <c r="L13" s="6"/>
      <c r="M13" s="7"/>
      <c r="N13" s="2"/>
      <c r="O13" s="6"/>
    </row>
    <row r="14" spans="1:15" ht="17" x14ac:dyDescent="0.2">
      <c r="A14" s="2">
        <v>10</v>
      </c>
      <c r="B14" s="3">
        <v>44960</v>
      </c>
      <c r="C14" s="4" t="s">
        <v>50</v>
      </c>
      <c r="D14" s="4" t="s">
        <v>34</v>
      </c>
      <c r="E14" s="2" t="s">
        <v>22</v>
      </c>
      <c r="F14" s="5" t="s">
        <v>51</v>
      </c>
      <c r="G14" s="5" t="s">
        <v>52</v>
      </c>
      <c r="H14" s="5"/>
      <c r="I14" s="5" t="s">
        <v>53</v>
      </c>
      <c r="J14" s="2"/>
      <c r="K14" s="5">
        <v>2</v>
      </c>
      <c r="L14" s="6"/>
      <c r="M14" s="7"/>
      <c r="N14" s="2"/>
      <c r="O14" s="6"/>
    </row>
    <row r="15" spans="1:15" ht="17" x14ac:dyDescent="0.2">
      <c r="A15" s="2">
        <v>11</v>
      </c>
      <c r="B15" s="3">
        <v>44960</v>
      </c>
      <c r="C15" s="4" t="s">
        <v>54</v>
      </c>
      <c r="D15" s="4" t="s">
        <v>34</v>
      </c>
      <c r="E15" s="2" t="s">
        <v>22</v>
      </c>
      <c r="F15" s="5" t="s">
        <v>55</v>
      </c>
      <c r="G15" s="5" t="s">
        <v>56</v>
      </c>
      <c r="H15" s="5"/>
      <c r="I15" s="5" t="s">
        <v>53</v>
      </c>
      <c r="J15" s="2"/>
      <c r="K15" s="5">
        <v>3</v>
      </c>
      <c r="L15" s="6"/>
      <c r="M15" s="7"/>
      <c r="N15" s="2"/>
      <c r="O15" s="6"/>
    </row>
    <row r="16" spans="1:15" ht="17" x14ac:dyDescent="0.2">
      <c r="A16" s="2">
        <v>12</v>
      </c>
      <c r="B16" s="3">
        <v>44960</v>
      </c>
      <c r="C16" s="4" t="s">
        <v>57</v>
      </c>
      <c r="D16" s="4" t="s">
        <v>34</v>
      </c>
      <c r="E16" s="2" t="s">
        <v>48</v>
      </c>
      <c r="F16" s="5" t="s">
        <v>58</v>
      </c>
      <c r="G16" s="5" t="s">
        <v>59</v>
      </c>
      <c r="H16" s="5"/>
      <c r="I16" s="5" t="s">
        <v>53</v>
      </c>
      <c r="J16" s="2"/>
      <c r="K16" s="5">
        <v>2</v>
      </c>
      <c r="L16" s="6"/>
      <c r="M16" s="7"/>
      <c r="N16" s="2"/>
      <c r="O16" s="6"/>
    </row>
    <row r="17" spans="1:15" ht="17" x14ac:dyDescent="0.2">
      <c r="A17" s="2">
        <v>13</v>
      </c>
      <c r="B17" s="3">
        <v>44960</v>
      </c>
      <c r="C17" s="4" t="s">
        <v>60</v>
      </c>
      <c r="D17" s="4" t="s">
        <v>16</v>
      </c>
      <c r="E17" s="2" t="s">
        <v>17</v>
      </c>
      <c r="F17" s="5" t="s">
        <v>30</v>
      </c>
      <c r="G17" s="5" t="s">
        <v>61</v>
      </c>
      <c r="H17" s="5"/>
      <c r="I17" s="5" t="s">
        <v>62</v>
      </c>
      <c r="J17" s="2"/>
      <c r="K17" s="5">
        <v>2</v>
      </c>
      <c r="L17" s="6"/>
      <c r="M17" s="7"/>
      <c r="N17" s="2"/>
      <c r="O17" s="6"/>
    </row>
    <row r="18" spans="1:15" ht="17" x14ac:dyDescent="0.2">
      <c r="A18" s="2">
        <v>14</v>
      </c>
      <c r="B18" s="3">
        <v>44960</v>
      </c>
      <c r="C18" s="4" t="s">
        <v>63</v>
      </c>
      <c r="D18" s="4" t="s">
        <v>16</v>
      </c>
      <c r="E18" s="2" t="s">
        <v>17</v>
      </c>
      <c r="F18" s="5" t="s">
        <v>39</v>
      </c>
      <c r="G18" s="5" t="s">
        <v>61</v>
      </c>
      <c r="H18" s="5"/>
      <c r="I18" s="5" t="s">
        <v>64</v>
      </c>
      <c r="J18" s="2"/>
      <c r="K18" s="5">
        <v>3</v>
      </c>
      <c r="L18" s="6"/>
      <c r="M18" s="7"/>
      <c r="N18" s="2"/>
      <c r="O18" s="6"/>
    </row>
    <row r="19" spans="1:15" ht="17" x14ac:dyDescent="0.2">
      <c r="A19" s="2">
        <v>15</v>
      </c>
      <c r="B19" s="3">
        <v>44960</v>
      </c>
      <c r="C19" s="4" t="s">
        <v>65</v>
      </c>
      <c r="D19" s="4" t="s">
        <v>34</v>
      </c>
      <c r="E19" s="2" t="s">
        <v>17</v>
      </c>
      <c r="F19" s="5" t="s">
        <v>66</v>
      </c>
      <c r="G19" s="5" t="s">
        <v>67</v>
      </c>
      <c r="H19" s="5"/>
      <c r="I19" s="5" t="s">
        <v>64</v>
      </c>
      <c r="J19" s="2"/>
      <c r="K19" s="5">
        <v>3</v>
      </c>
      <c r="L19" s="6"/>
      <c r="M19" s="7"/>
      <c r="N19" s="2"/>
      <c r="O19" s="6"/>
    </row>
    <row r="20" spans="1:15" ht="17" x14ac:dyDescent="0.2">
      <c r="A20" s="2">
        <v>16</v>
      </c>
      <c r="B20" s="3">
        <v>44960</v>
      </c>
      <c r="C20" s="4" t="s">
        <v>68</v>
      </c>
      <c r="D20" s="4" t="s">
        <v>34</v>
      </c>
      <c r="E20" s="2" t="s">
        <v>17</v>
      </c>
      <c r="F20" s="5" t="s">
        <v>69</v>
      </c>
      <c r="G20" s="5" t="s">
        <v>67</v>
      </c>
      <c r="H20" s="5"/>
      <c r="I20" s="5" t="s">
        <v>64</v>
      </c>
      <c r="J20" s="2"/>
      <c r="K20" s="5">
        <v>7</v>
      </c>
      <c r="L20" s="6"/>
      <c r="M20" s="7"/>
      <c r="N20" s="2"/>
      <c r="O20" s="6"/>
    </row>
    <row r="21" spans="1:15" ht="17" x14ac:dyDescent="0.2">
      <c r="A21" s="2">
        <v>17</v>
      </c>
      <c r="B21" s="3">
        <v>44960</v>
      </c>
      <c r="C21" s="4" t="s">
        <v>70</v>
      </c>
      <c r="D21" s="4" t="s">
        <v>34</v>
      </c>
      <c r="E21" s="2" t="s">
        <v>17</v>
      </c>
      <c r="F21" s="5" t="s">
        <v>71</v>
      </c>
      <c r="G21" s="5" t="s">
        <v>67</v>
      </c>
      <c r="H21" s="5"/>
      <c r="I21" s="5" t="s">
        <v>72</v>
      </c>
      <c r="J21" s="2"/>
      <c r="K21" s="5">
        <v>8</v>
      </c>
      <c r="L21" s="6"/>
      <c r="M21" s="7"/>
      <c r="N21" s="2"/>
      <c r="O21" s="6"/>
    </row>
    <row r="22" spans="1:15" ht="17" x14ac:dyDescent="0.2">
      <c r="A22" s="2">
        <v>18</v>
      </c>
      <c r="B22" s="3">
        <v>44961</v>
      </c>
      <c r="C22" s="4" t="s">
        <v>73</v>
      </c>
      <c r="D22" s="4" t="s">
        <v>16</v>
      </c>
      <c r="E22" s="2" t="s">
        <v>17</v>
      </c>
      <c r="F22" s="5" t="s">
        <v>74</v>
      </c>
      <c r="G22" s="5" t="s">
        <v>67</v>
      </c>
      <c r="H22" s="5"/>
      <c r="I22" s="5" t="s">
        <v>62</v>
      </c>
      <c r="J22" s="2"/>
      <c r="K22" s="5">
        <v>12</v>
      </c>
      <c r="L22" s="6"/>
      <c r="M22" s="7"/>
      <c r="N22" s="2"/>
      <c r="O22" s="6"/>
    </row>
    <row r="23" spans="1:15" ht="17" x14ac:dyDescent="0.2">
      <c r="A23" s="2">
        <v>19</v>
      </c>
      <c r="B23" s="3">
        <v>44961</v>
      </c>
      <c r="C23" s="4" t="s">
        <v>75</v>
      </c>
      <c r="D23" s="4" t="s">
        <v>34</v>
      </c>
      <c r="E23" s="2" t="s">
        <v>17</v>
      </c>
      <c r="F23" s="5" t="s">
        <v>76</v>
      </c>
      <c r="G23" s="5" t="s">
        <v>77</v>
      </c>
      <c r="H23" s="5"/>
      <c r="I23" s="5" t="s">
        <v>78</v>
      </c>
      <c r="J23" s="2"/>
      <c r="K23" s="5">
        <v>12</v>
      </c>
      <c r="L23" s="6"/>
      <c r="M23" s="7"/>
      <c r="N23" s="2"/>
      <c r="O23" s="6"/>
    </row>
    <row r="24" spans="1:15" ht="17" x14ac:dyDescent="0.2">
      <c r="A24" s="2">
        <v>20</v>
      </c>
      <c r="B24" s="3">
        <v>44961</v>
      </c>
      <c r="C24" s="4" t="s">
        <v>79</v>
      </c>
      <c r="D24" s="4" t="s">
        <v>34</v>
      </c>
      <c r="E24" s="2" t="s">
        <v>17</v>
      </c>
      <c r="F24" s="5" t="s">
        <v>30</v>
      </c>
      <c r="G24" s="5" t="s">
        <v>80</v>
      </c>
      <c r="H24" s="5"/>
      <c r="I24" s="5" t="s">
        <v>78</v>
      </c>
      <c r="J24" s="2"/>
      <c r="K24" s="5">
        <v>11</v>
      </c>
      <c r="L24" s="6"/>
      <c r="M24" s="7"/>
      <c r="N24" s="2"/>
      <c r="O24" s="6"/>
    </row>
    <row r="25" spans="1:15" ht="17" x14ac:dyDescent="0.2">
      <c r="A25" s="2">
        <v>21</v>
      </c>
      <c r="B25" s="3">
        <v>44962</v>
      </c>
      <c r="C25" s="4" t="s">
        <v>81</v>
      </c>
      <c r="D25" s="4" t="s">
        <v>34</v>
      </c>
      <c r="E25" s="2" t="s">
        <v>17</v>
      </c>
      <c r="F25" s="5" t="s">
        <v>82</v>
      </c>
      <c r="G25" s="5" t="s">
        <v>61</v>
      </c>
      <c r="H25" s="5"/>
      <c r="I25" s="5" t="s">
        <v>83</v>
      </c>
      <c r="J25" s="2"/>
      <c r="K25" s="5">
        <v>9</v>
      </c>
      <c r="L25" s="6"/>
      <c r="M25" s="7"/>
      <c r="N25" s="2"/>
      <c r="O25" s="6"/>
    </row>
    <row r="26" spans="1:15" ht="17" x14ac:dyDescent="0.2">
      <c r="A26" s="2">
        <v>22</v>
      </c>
      <c r="B26" s="3">
        <v>44962</v>
      </c>
      <c r="C26" s="4" t="s">
        <v>84</v>
      </c>
      <c r="D26" s="4" t="s">
        <v>34</v>
      </c>
      <c r="E26" s="2" t="s">
        <v>48</v>
      </c>
      <c r="F26" s="5" t="s">
        <v>82</v>
      </c>
      <c r="G26" s="5" t="s">
        <v>59</v>
      </c>
      <c r="H26" s="5"/>
      <c r="I26" s="5" t="s">
        <v>85</v>
      </c>
      <c r="J26" s="2"/>
      <c r="K26" s="5">
        <v>9</v>
      </c>
      <c r="L26" s="6"/>
      <c r="M26" s="7"/>
      <c r="N26" s="2"/>
      <c r="O26" s="6"/>
    </row>
    <row r="27" spans="1:15" ht="17" x14ac:dyDescent="0.2">
      <c r="A27" s="2">
        <v>23</v>
      </c>
      <c r="B27" s="3">
        <v>44962</v>
      </c>
      <c r="C27" s="4" t="s">
        <v>86</v>
      </c>
      <c r="D27" s="4" t="s">
        <v>34</v>
      </c>
      <c r="E27" s="2" t="s">
        <v>48</v>
      </c>
      <c r="F27" s="5" t="s">
        <v>87</v>
      </c>
      <c r="G27" s="5" t="s">
        <v>88</v>
      </c>
      <c r="H27" s="5"/>
      <c r="I27" s="5" t="s">
        <v>89</v>
      </c>
      <c r="J27" s="2"/>
      <c r="K27" s="5">
        <v>5</v>
      </c>
      <c r="L27" s="6"/>
      <c r="M27" s="7"/>
      <c r="N27" s="2"/>
      <c r="O27" s="6"/>
    </row>
    <row r="28" spans="1:15" ht="17" x14ac:dyDescent="0.2">
      <c r="A28" s="2">
        <v>24</v>
      </c>
      <c r="B28" s="3">
        <v>44962</v>
      </c>
      <c r="C28" s="4" t="s">
        <v>90</v>
      </c>
      <c r="D28" s="4" t="s">
        <v>16</v>
      </c>
      <c r="E28" s="2" t="s">
        <v>17</v>
      </c>
      <c r="F28" s="5" t="s">
        <v>91</v>
      </c>
      <c r="G28" s="5" t="s">
        <v>56</v>
      </c>
      <c r="H28" s="5"/>
      <c r="I28" s="5" t="s">
        <v>92</v>
      </c>
      <c r="J28" s="2"/>
      <c r="K28" s="5">
        <v>4</v>
      </c>
      <c r="L28" s="6"/>
      <c r="M28" s="7"/>
      <c r="N28" s="2"/>
      <c r="O28" s="6"/>
    </row>
    <row r="29" spans="1:15" ht="17" x14ac:dyDescent="0.2">
      <c r="A29" s="2">
        <v>25</v>
      </c>
      <c r="B29" s="3">
        <v>44962</v>
      </c>
      <c r="C29" s="4" t="s">
        <v>93</v>
      </c>
      <c r="D29" s="4" t="s">
        <v>34</v>
      </c>
      <c r="E29" s="2" t="s">
        <v>17</v>
      </c>
      <c r="F29" s="5" t="s">
        <v>94</v>
      </c>
      <c r="G29" s="5" t="s">
        <v>56</v>
      </c>
      <c r="H29" s="5"/>
      <c r="I29" s="5" t="s">
        <v>89</v>
      </c>
      <c r="J29" s="2"/>
      <c r="K29" s="5">
        <v>3</v>
      </c>
      <c r="L29" s="6"/>
      <c r="M29" s="7"/>
      <c r="N29" s="2"/>
      <c r="O29" s="6"/>
    </row>
    <row r="30" spans="1:15" ht="17" x14ac:dyDescent="0.2">
      <c r="A30" s="2">
        <v>26</v>
      </c>
      <c r="B30" s="3">
        <v>44962</v>
      </c>
      <c r="C30" s="4" t="s">
        <v>95</v>
      </c>
      <c r="D30" s="4" t="s">
        <v>34</v>
      </c>
      <c r="E30" s="2" t="s">
        <v>17</v>
      </c>
      <c r="F30" s="5" t="s">
        <v>96</v>
      </c>
      <c r="G30" s="5" t="s">
        <v>56</v>
      </c>
      <c r="H30" s="5"/>
      <c r="I30" s="5" t="s">
        <v>92</v>
      </c>
      <c r="J30" s="2"/>
      <c r="K30" s="5">
        <v>2</v>
      </c>
      <c r="L30" s="6"/>
      <c r="M30" s="7"/>
      <c r="N30" s="2"/>
      <c r="O30" s="6"/>
    </row>
    <row r="31" spans="1:15" ht="17" x14ac:dyDescent="0.2">
      <c r="A31" s="2">
        <v>27</v>
      </c>
      <c r="B31" s="3">
        <v>44962</v>
      </c>
      <c r="C31" s="4" t="s">
        <v>97</v>
      </c>
      <c r="D31" s="4" t="s">
        <v>16</v>
      </c>
      <c r="E31" s="2" t="s">
        <v>17</v>
      </c>
      <c r="F31" s="5" t="s">
        <v>98</v>
      </c>
      <c r="G31" s="5" t="s">
        <v>52</v>
      </c>
      <c r="H31" s="5"/>
      <c r="I31" s="5" t="s">
        <v>99</v>
      </c>
      <c r="J31" s="2"/>
      <c r="K31" s="5">
        <v>3</v>
      </c>
      <c r="L31" s="6"/>
      <c r="M31" s="7"/>
      <c r="N31" s="2"/>
      <c r="O31" s="6"/>
    </row>
    <row r="32" spans="1:15" ht="17" x14ac:dyDescent="0.2">
      <c r="A32" s="2">
        <v>28</v>
      </c>
      <c r="B32" s="3">
        <v>44962</v>
      </c>
      <c r="C32" s="4" t="s">
        <v>100</v>
      </c>
      <c r="D32" s="4" t="s">
        <v>16</v>
      </c>
      <c r="E32" s="2" t="s">
        <v>17</v>
      </c>
      <c r="F32" s="5" t="s">
        <v>23</v>
      </c>
      <c r="G32" s="5" t="s">
        <v>52</v>
      </c>
      <c r="H32" s="5"/>
      <c r="I32" s="5" t="s">
        <v>101</v>
      </c>
      <c r="J32" s="2"/>
      <c r="K32" s="5">
        <v>3</v>
      </c>
      <c r="L32" s="6"/>
      <c r="M32" s="7"/>
      <c r="N32" s="2"/>
      <c r="O32" s="6"/>
    </row>
    <row r="33" spans="1:15" ht="17" x14ac:dyDescent="0.2">
      <c r="A33" s="2">
        <v>29</v>
      </c>
      <c r="B33" s="3">
        <v>44962</v>
      </c>
      <c r="C33" s="4" t="s">
        <v>102</v>
      </c>
      <c r="D33" s="4" t="s">
        <v>16</v>
      </c>
      <c r="E33" s="2" t="s">
        <v>17</v>
      </c>
      <c r="F33" s="5" t="s">
        <v>28</v>
      </c>
      <c r="G33" s="5" t="s">
        <v>103</v>
      </c>
      <c r="H33" s="5"/>
      <c r="I33" s="5" t="s">
        <v>104</v>
      </c>
      <c r="J33" s="2"/>
      <c r="K33" s="5">
        <v>3</v>
      </c>
      <c r="L33" s="6"/>
      <c r="M33" s="7"/>
      <c r="N33" s="2"/>
      <c r="O33" s="6"/>
    </row>
    <row r="34" spans="1:15" ht="17" x14ac:dyDescent="0.2">
      <c r="A34" s="2">
        <v>30</v>
      </c>
      <c r="B34" s="3">
        <v>44962</v>
      </c>
      <c r="C34" s="4" t="s">
        <v>105</v>
      </c>
      <c r="D34" s="4" t="s">
        <v>16</v>
      </c>
      <c r="E34" s="2" t="s">
        <v>48</v>
      </c>
      <c r="F34" s="5" t="s">
        <v>30</v>
      </c>
      <c r="G34" s="5" t="s">
        <v>103</v>
      </c>
      <c r="H34" s="5"/>
      <c r="I34" s="5" t="s">
        <v>106</v>
      </c>
      <c r="J34" s="2"/>
      <c r="K34" s="5">
        <v>2</v>
      </c>
      <c r="L34" s="6"/>
      <c r="M34" s="7"/>
      <c r="N34" s="2"/>
      <c r="O34" s="6"/>
    </row>
    <row r="35" spans="1:15" ht="17" x14ac:dyDescent="0.2">
      <c r="A35" s="2">
        <v>31</v>
      </c>
      <c r="B35" s="3">
        <v>44962</v>
      </c>
      <c r="C35" s="4" t="s">
        <v>107</v>
      </c>
      <c r="D35" s="4" t="s">
        <v>16</v>
      </c>
      <c r="E35" s="2" t="s">
        <v>22</v>
      </c>
      <c r="F35" s="5" t="s">
        <v>35</v>
      </c>
      <c r="G35" s="5" t="s">
        <v>40</v>
      </c>
      <c r="H35" s="5"/>
      <c r="I35" s="5" t="s">
        <v>104</v>
      </c>
      <c r="J35" s="2"/>
      <c r="K35" s="5">
        <v>2</v>
      </c>
      <c r="L35" s="6"/>
      <c r="M35" s="7"/>
      <c r="N35" s="2"/>
      <c r="O35" s="6"/>
    </row>
    <row r="36" spans="1:15" ht="17" x14ac:dyDescent="0.2">
      <c r="A36" s="2">
        <v>32</v>
      </c>
      <c r="B36" s="3">
        <v>44962</v>
      </c>
      <c r="C36" s="4" t="s">
        <v>108</v>
      </c>
      <c r="D36" s="4" t="s">
        <v>16</v>
      </c>
      <c r="E36" s="2" t="s">
        <v>22</v>
      </c>
      <c r="F36" s="5" t="s">
        <v>39</v>
      </c>
      <c r="G36" s="5" t="s">
        <v>46</v>
      </c>
      <c r="H36" s="5"/>
      <c r="I36" s="5" t="s">
        <v>106</v>
      </c>
      <c r="J36" s="2"/>
      <c r="K36" s="5">
        <v>4</v>
      </c>
      <c r="L36" s="6"/>
      <c r="M36" s="7"/>
      <c r="N36" s="2"/>
      <c r="O36" s="6"/>
    </row>
    <row r="37" spans="1:15" ht="17" x14ac:dyDescent="0.2">
      <c r="A37" s="2">
        <v>33</v>
      </c>
      <c r="B37" s="3">
        <v>44962</v>
      </c>
      <c r="C37" s="4" t="s">
        <v>109</v>
      </c>
      <c r="D37" s="4" t="s">
        <v>16</v>
      </c>
      <c r="E37" s="2" t="s">
        <v>22</v>
      </c>
      <c r="F37" s="5" t="s">
        <v>43</v>
      </c>
      <c r="G37" s="5" t="s">
        <v>110</v>
      </c>
      <c r="H37" s="5"/>
      <c r="I37" s="5" t="s">
        <v>111</v>
      </c>
      <c r="J37" s="2"/>
      <c r="K37" s="5">
        <v>4</v>
      </c>
      <c r="L37" s="6"/>
      <c r="M37" s="7"/>
      <c r="N37" s="2"/>
      <c r="O37" s="6"/>
    </row>
    <row r="38" spans="1:15" ht="17" x14ac:dyDescent="0.2">
      <c r="A38" s="2">
        <v>34</v>
      </c>
      <c r="B38" s="3">
        <v>44962</v>
      </c>
      <c r="C38" s="4" t="s">
        <v>112</v>
      </c>
      <c r="D38" s="4" t="s">
        <v>16</v>
      </c>
      <c r="E38" s="2" t="s">
        <v>22</v>
      </c>
      <c r="F38" s="5" t="s">
        <v>45</v>
      </c>
      <c r="G38" s="5" t="s">
        <v>110</v>
      </c>
      <c r="H38" s="5"/>
      <c r="I38" s="5" t="s">
        <v>32</v>
      </c>
      <c r="J38" s="2"/>
      <c r="K38" s="5">
        <v>5</v>
      </c>
      <c r="L38" s="6"/>
      <c r="M38" s="7"/>
      <c r="N38" s="2"/>
      <c r="O38" s="6"/>
    </row>
    <row r="39" spans="1:15" ht="17" x14ac:dyDescent="0.2">
      <c r="A39" s="2">
        <v>35</v>
      </c>
      <c r="B39" s="3">
        <v>44962</v>
      </c>
      <c r="C39" s="4" t="s">
        <v>113</v>
      </c>
      <c r="D39" s="4" t="s">
        <v>34</v>
      </c>
      <c r="E39" s="2" t="s">
        <v>22</v>
      </c>
      <c r="F39" s="5" t="s">
        <v>49</v>
      </c>
      <c r="G39" s="5" t="s">
        <v>19</v>
      </c>
      <c r="H39" s="5"/>
      <c r="I39" s="5" t="s">
        <v>32</v>
      </c>
      <c r="J39" s="2"/>
      <c r="K39" s="5">
        <v>5</v>
      </c>
      <c r="L39" s="6"/>
      <c r="M39" s="7"/>
      <c r="N39" s="2"/>
      <c r="O39" s="6"/>
    </row>
    <row r="40" spans="1:15" ht="17" x14ac:dyDescent="0.2">
      <c r="A40" s="2">
        <v>36</v>
      </c>
      <c r="B40" s="3">
        <v>44962</v>
      </c>
      <c r="C40" s="4" t="s">
        <v>114</v>
      </c>
      <c r="D40" s="4" t="s">
        <v>34</v>
      </c>
      <c r="E40" s="2" t="s">
        <v>22</v>
      </c>
      <c r="F40" s="5" t="s">
        <v>51</v>
      </c>
      <c r="G40" s="5" t="s">
        <v>24</v>
      </c>
      <c r="H40" s="5"/>
      <c r="I40" s="5" t="s">
        <v>115</v>
      </c>
      <c r="J40" s="2"/>
      <c r="K40" s="5">
        <v>7</v>
      </c>
      <c r="L40" s="6"/>
      <c r="M40" s="7"/>
      <c r="N40" s="2"/>
      <c r="O40" s="6"/>
    </row>
    <row r="41" spans="1:15" ht="17" x14ac:dyDescent="0.2">
      <c r="A41" s="2">
        <v>37</v>
      </c>
      <c r="B41" s="3">
        <v>44963</v>
      </c>
      <c r="C41" s="4" t="s">
        <v>116</v>
      </c>
      <c r="D41" s="4" t="s">
        <v>34</v>
      </c>
      <c r="E41" s="2" t="s">
        <v>22</v>
      </c>
      <c r="F41" s="5" t="s">
        <v>55</v>
      </c>
      <c r="G41" s="5" t="s">
        <v>24</v>
      </c>
      <c r="H41" s="5"/>
      <c r="I41" s="5" t="s">
        <v>115</v>
      </c>
      <c r="J41" s="2"/>
      <c r="K41" s="5">
        <v>8</v>
      </c>
      <c r="L41" s="6"/>
      <c r="M41" s="7"/>
      <c r="N41" s="2"/>
      <c r="O41" s="6"/>
    </row>
    <row r="42" spans="1:15" ht="17" x14ac:dyDescent="0.2">
      <c r="A42" s="2">
        <v>38</v>
      </c>
      <c r="B42" s="3">
        <v>44963</v>
      </c>
      <c r="C42" s="4" t="s">
        <v>117</v>
      </c>
      <c r="D42" s="4" t="s">
        <v>34</v>
      </c>
      <c r="E42" s="2" t="s">
        <v>22</v>
      </c>
      <c r="F42" s="5" t="s">
        <v>74</v>
      </c>
      <c r="G42" s="5" t="s">
        <v>24</v>
      </c>
      <c r="H42" s="5"/>
      <c r="I42" s="5" t="s">
        <v>115</v>
      </c>
      <c r="J42" s="2"/>
      <c r="K42" s="5">
        <v>8</v>
      </c>
      <c r="L42" s="6"/>
      <c r="M42" s="7"/>
      <c r="N42" s="2"/>
      <c r="O42" s="6"/>
    </row>
    <row r="43" spans="1:15" ht="17" x14ac:dyDescent="0.2">
      <c r="A43" s="2">
        <v>39</v>
      </c>
      <c r="B43" s="3">
        <v>44963</v>
      </c>
      <c r="C43" s="4" t="s">
        <v>118</v>
      </c>
      <c r="D43" s="4" t="s">
        <v>16</v>
      </c>
      <c r="E43" s="2" t="s">
        <v>22</v>
      </c>
      <c r="F43" s="5" t="s">
        <v>55</v>
      </c>
      <c r="G43" s="5" t="s">
        <v>110</v>
      </c>
      <c r="H43" s="5"/>
      <c r="I43" s="5" t="s">
        <v>32</v>
      </c>
      <c r="J43" s="2"/>
      <c r="K43" s="5">
        <v>7</v>
      </c>
      <c r="L43" s="6"/>
      <c r="M43" s="7"/>
      <c r="N43" s="2"/>
      <c r="O43" s="6"/>
    </row>
    <row r="44" spans="1:15" ht="17" x14ac:dyDescent="0.2">
      <c r="A44" s="2">
        <v>40</v>
      </c>
      <c r="B44" s="3">
        <v>44963</v>
      </c>
      <c r="C44" s="4" t="s">
        <v>119</v>
      </c>
      <c r="D44" s="4" t="s">
        <v>16</v>
      </c>
      <c r="E44" s="2" t="s">
        <v>22</v>
      </c>
      <c r="F44" s="5" t="s">
        <v>74</v>
      </c>
      <c r="G44" s="5" t="s">
        <v>110</v>
      </c>
      <c r="H44" s="5"/>
      <c r="I44" s="5" t="s">
        <v>32</v>
      </c>
      <c r="J44" s="2"/>
      <c r="K44" s="5">
        <v>7</v>
      </c>
      <c r="L44" s="6"/>
      <c r="M44" s="7"/>
      <c r="N44" s="2"/>
      <c r="O44" s="6"/>
    </row>
    <row r="45" spans="1:15" ht="17" x14ac:dyDescent="0.2">
      <c r="A45" s="2">
        <v>41</v>
      </c>
      <c r="B45" s="3">
        <v>44963</v>
      </c>
      <c r="C45" s="4" t="s">
        <v>120</v>
      </c>
      <c r="D45" s="4" t="s">
        <v>16</v>
      </c>
      <c r="E45" s="2" t="s">
        <v>48</v>
      </c>
      <c r="F45" s="5" t="s">
        <v>76</v>
      </c>
      <c r="G45" s="5" t="s">
        <v>19</v>
      </c>
      <c r="H45" s="5"/>
      <c r="I45" s="5" t="s">
        <v>32</v>
      </c>
      <c r="J45" s="2"/>
      <c r="K45" s="5">
        <v>5</v>
      </c>
      <c r="L45" s="6"/>
      <c r="M45" s="7"/>
      <c r="N45" s="2"/>
      <c r="O45" s="6"/>
    </row>
    <row r="46" spans="1:15" ht="17" x14ac:dyDescent="0.2">
      <c r="A46" s="2">
        <v>42</v>
      </c>
      <c r="B46" s="3">
        <v>44963</v>
      </c>
      <c r="C46" s="4" t="s">
        <v>121</v>
      </c>
      <c r="D46" s="4" t="s">
        <v>16</v>
      </c>
      <c r="E46" s="2" t="s">
        <v>48</v>
      </c>
      <c r="F46" s="5" t="s">
        <v>74</v>
      </c>
      <c r="G46" s="5" t="s">
        <v>19</v>
      </c>
      <c r="H46" s="5"/>
      <c r="I46" s="5" t="s">
        <v>32</v>
      </c>
      <c r="J46" s="2"/>
      <c r="K46" s="5">
        <v>4</v>
      </c>
      <c r="L46" s="6"/>
      <c r="M46" s="7"/>
      <c r="N46" s="2"/>
      <c r="O46" s="6"/>
    </row>
    <row r="47" spans="1:15" ht="17" x14ac:dyDescent="0.2">
      <c r="A47" s="2">
        <v>43</v>
      </c>
      <c r="B47" s="3">
        <v>44964</v>
      </c>
      <c r="C47" s="4" t="s">
        <v>122</v>
      </c>
      <c r="D47" s="4" t="s">
        <v>34</v>
      </c>
      <c r="E47" s="2" t="s">
        <v>48</v>
      </c>
      <c r="F47" s="5" t="s">
        <v>76</v>
      </c>
      <c r="G47" s="5" t="s">
        <v>80</v>
      </c>
      <c r="H47" s="5"/>
      <c r="I47" s="5" t="s">
        <v>72</v>
      </c>
      <c r="J47" s="2"/>
      <c r="K47" s="5">
        <v>6</v>
      </c>
      <c r="L47" s="6"/>
      <c r="M47" s="7"/>
      <c r="N47" s="2"/>
      <c r="O47" s="6"/>
    </row>
    <row r="48" spans="1:15" ht="17" x14ac:dyDescent="0.2">
      <c r="A48" s="2">
        <v>44</v>
      </c>
      <c r="B48" s="3">
        <v>44964</v>
      </c>
      <c r="C48" s="4" t="s">
        <v>123</v>
      </c>
      <c r="D48" s="4" t="s">
        <v>16</v>
      </c>
      <c r="E48" s="2" t="s">
        <v>48</v>
      </c>
      <c r="F48" s="5" t="s">
        <v>74</v>
      </c>
      <c r="G48" s="5" t="s">
        <v>61</v>
      </c>
      <c r="H48" s="5"/>
      <c r="I48" s="5" t="s">
        <v>78</v>
      </c>
      <c r="J48" s="2"/>
      <c r="K48" s="5">
        <v>8</v>
      </c>
      <c r="L48" s="6"/>
      <c r="M48" s="7"/>
      <c r="N48" s="2"/>
      <c r="O48" s="6"/>
    </row>
    <row r="49" spans="1:15" ht="17" x14ac:dyDescent="0.2">
      <c r="A49" s="2">
        <v>45</v>
      </c>
      <c r="B49" s="3">
        <v>44964</v>
      </c>
      <c r="C49" s="4" t="s">
        <v>124</v>
      </c>
      <c r="D49" s="4" t="s">
        <v>16</v>
      </c>
      <c r="E49" s="2" t="s">
        <v>48</v>
      </c>
      <c r="F49" s="5" t="s">
        <v>76</v>
      </c>
      <c r="G49" s="5" t="s">
        <v>59</v>
      </c>
      <c r="H49" s="5"/>
      <c r="I49" s="5" t="s">
        <v>125</v>
      </c>
      <c r="J49" s="2"/>
      <c r="K49" s="5">
        <v>8</v>
      </c>
      <c r="L49" s="6"/>
      <c r="M49" s="7"/>
      <c r="N49" s="2"/>
      <c r="O49" s="6"/>
    </row>
    <row r="50" spans="1:15" ht="17" x14ac:dyDescent="0.2">
      <c r="A50" s="2">
        <v>46</v>
      </c>
      <c r="B50" s="3">
        <v>44964</v>
      </c>
      <c r="C50" s="4" t="s">
        <v>126</v>
      </c>
      <c r="D50" s="4" t="s">
        <v>34</v>
      </c>
      <c r="E50" s="2" t="s">
        <v>17</v>
      </c>
      <c r="F50" s="5" t="s">
        <v>30</v>
      </c>
      <c r="G50" s="5" t="s">
        <v>88</v>
      </c>
      <c r="H50" s="5"/>
      <c r="I50" s="5" t="s">
        <v>127</v>
      </c>
      <c r="J50" s="2"/>
      <c r="K50" s="5">
        <v>9</v>
      </c>
      <c r="L50" s="6"/>
      <c r="M50" s="7"/>
      <c r="N50" s="2"/>
      <c r="O50" s="6"/>
    </row>
    <row r="51" spans="1:15" ht="17" x14ac:dyDescent="0.2">
      <c r="A51" s="2">
        <v>47</v>
      </c>
      <c r="B51" s="3">
        <v>44964</v>
      </c>
      <c r="C51" s="4" t="s">
        <v>128</v>
      </c>
      <c r="D51" s="4" t="s">
        <v>16</v>
      </c>
      <c r="E51" s="2" t="s">
        <v>17</v>
      </c>
      <c r="F51" s="5" t="s">
        <v>55</v>
      </c>
      <c r="G51" s="5" t="s">
        <v>56</v>
      </c>
      <c r="H51" s="5"/>
      <c r="I51" s="5" t="s">
        <v>127</v>
      </c>
      <c r="J51" s="2"/>
      <c r="K51" s="5">
        <v>11</v>
      </c>
      <c r="L51" s="6"/>
      <c r="M51" s="7"/>
      <c r="N51" s="2"/>
      <c r="O51" s="6"/>
    </row>
    <row r="52" spans="1:15" ht="17" x14ac:dyDescent="0.2">
      <c r="A52" s="2">
        <v>48</v>
      </c>
      <c r="B52" s="3">
        <v>44964</v>
      </c>
      <c r="C52" s="4" t="s">
        <v>129</v>
      </c>
      <c r="D52" s="4" t="s">
        <v>34</v>
      </c>
      <c r="E52" s="2" t="s">
        <v>17</v>
      </c>
      <c r="F52" s="5" t="s">
        <v>130</v>
      </c>
      <c r="G52" s="5" t="s">
        <v>56</v>
      </c>
      <c r="H52" s="5"/>
      <c r="I52" s="5" t="s">
        <v>131</v>
      </c>
      <c r="J52" s="2"/>
      <c r="K52" s="5">
        <v>10</v>
      </c>
      <c r="L52" s="6"/>
      <c r="M52" s="7"/>
      <c r="N52" s="2"/>
      <c r="O52" s="6"/>
    </row>
    <row r="53" spans="1:15" ht="17" x14ac:dyDescent="0.2">
      <c r="A53" s="2">
        <v>49</v>
      </c>
      <c r="B53" s="3">
        <v>44964</v>
      </c>
      <c r="C53" s="4" t="s">
        <v>132</v>
      </c>
      <c r="D53" s="4" t="s">
        <v>34</v>
      </c>
      <c r="E53" s="2" t="s">
        <v>17</v>
      </c>
      <c r="F53" s="5" t="s">
        <v>55</v>
      </c>
      <c r="G53" s="5" t="s">
        <v>56</v>
      </c>
      <c r="H53" s="5"/>
      <c r="I53" s="5" t="s">
        <v>133</v>
      </c>
      <c r="J53" s="2"/>
      <c r="K53" s="5">
        <v>9</v>
      </c>
      <c r="L53" s="6"/>
      <c r="M53" s="7"/>
      <c r="N53" s="2"/>
      <c r="O53" s="6"/>
    </row>
    <row r="54" spans="1:15" ht="17" x14ac:dyDescent="0.2">
      <c r="A54" s="2">
        <v>50</v>
      </c>
      <c r="B54" s="3">
        <v>44965</v>
      </c>
      <c r="C54" s="4" t="s">
        <v>134</v>
      </c>
      <c r="D54" s="4" t="s">
        <v>16</v>
      </c>
      <c r="E54" s="2" t="s">
        <v>17</v>
      </c>
      <c r="F54" s="5" t="s">
        <v>43</v>
      </c>
      <c r="G54" s="5" t="s">
        <v>52</v>
      </c>
      <c r="H54" s="5"/>
      <c r="I54" s="5" t="s">
        <v>133</v>
      </c>
      <c r="J54" s="2"/>
      <c r="K54" s="5">
        <v>5</v>
      </c>
      <c r="L54" s="6"/>
      <c r="M54" s="7"/>
      <c r="N54" s="2"/>
      <c r="O54" s="6"/>
    </row>
    <row r="55" spans="1:15" ht="17" x14ac:dyDescent="0.2">
      <c r="A55" s="2">
        <v>51</v>
      </c>
      <c r="B55" s="3">
        <v>44965</v>
      </c>
      <c r="C55" s="4" t="s">
        <v>135</v>
      </c>
      <c r="D55" s="4" t="s">
        <v>34</v>
      </c>
      <c r="E55" s="2" t="s">
        <v>17</v>
      </c>
      <c r="F55" s="5" t="s">
        <v>45</v>
      </c>
      <c r="G55" s="5" t="s">
        <v>52</v>
      </c>
      <c r="H55" s="5"/>
      <c r="I55" s="5" t="s">
        <v>133</v>
      </c>
      <c r="J55" s="2"/>
      <c r="K55" s="5">
        <v>5</v>
      </c>
      <c r="L55" s="6"/>
      <c r="M55" s="7"/>
      <c r="N55" s="2"/>
      <c r="O55" s="6"/>
    </row>
    <row r="56" spans="1:15" ht="17" x14ac:dyDescent="0.2">
      <c r="A56" s="2">
        <v>52</v>
      </c>
      <c r="B56" s="3">
        <v>44965</v>
      </c>
      <c r="C56" s="4" t="s">
        <v>136</v>
      </c>
      <c r="D56" s="4" t="s">
        <v>16</v>
      </c>
      <c r="E56" s="2" t="s">
        <v>17</v>
      </c>
      <c r="F56" s="5" t="s">
        <v>49</v>
      </c>
      <c r="G56" s="5" t="s">
        <v>103</v>
      </c>
      <c r="H56" s="5"/>
      <c r="I56" s="5" t="s">
        <v>137</v>
      </c>
      <c r="J56" s="2"/>
      <c r="K56" s="5">
        <v>3</v>
      </c>
      <c r="L56" s="6"/>
      <c r="M56" s="7"/>
      <c r="N56" s="2"/>
      <c r="O56" s="6"/>
    </row>
    <row r="57" spans="1:15" ht="17" x14ac:dyDescent="0.2">
      <c r="A57" s="2">
        <v>53</v>
      </c>
      <c r="B57" s="3">
        <v>44965</v>
      </c>
      <c r="C57" s="4" t="s">
        <v>138</v>
      </c>
      <c r="D57" s="4" t="s">
        <v>16</v>
      </c>
      <c r="E57" s="2" t="s">
        <v>17</v>
      </c>
      <c r="F57" s="5" t="s">
        <v>51</v>
      </c>
      <c r="G57" s="5" t="s">
        <v>103</v>
      </c>
      <c r="H57" s="5"/>
      <c r="I57" s="5" t="s">
        <v>137</v>
      </c>
      <c r="J57" s="2"/>
      <c r="K57" s="5">
        <v>2</v>
      </c>
      <c r="L57" s="6"/>
      <c r="M57" s="7"/>
      <c r="N57" s="2"/>
      <c r="O57" s="6"/>
    </row>
    <row r="58" spans="1:15" ht="17" x14ac:dyDescent="0.2">
      <c r="A58" s="2">
        <v>54</v>
      </c>
      <c r="B58" s="3">
        <v>44965</v>
      </c>
      <c r="C58" s="4" t="s">
        <v>139</v>
      </c>
      <c r="D58" s="4" t="s">
        <v>34</v>
      </c>
      <c r="E58" s="2" t="s">
        <v>17</v>
      </c>
      <c r="F58" s="5" t="s">
        <v>55</v>
      </c>
      <c r="G58" s="5" t="s">
        <v>19</v>
      </c>
      <c r="H58" s="5"/>
      <c r="I58" s="5" t="s">
        <v>111</v>
      </c>
      <c r="J58" s="2"/>
      <c r="K58" s="5">
        <v>2</v>
      </c>
      <c r="L58" s="6"/>
      <c r="M58" s="7"/>
      <c r="N58" s="2"/>
      <c r="O58" s="6"/>
    </row>
    <row r="59" spans="1:15" ht="17" x14ac:dyDescent="0.2">
      <c r="A59" s="2">
        <v>55</v>
      </c>
      <c r="B59" s="3">
        <v>44965</v>
      </c>
      <c r="C59" s="4" t="s">
        <v>140</v>
      </c>
      <c r="D59" s="4" t="s">
        <v>16</v>
      </c>
      <c r="E59" s="2" t="s">
        <v>17</v>
      </c>
      <c r="F59" s="5" t="s">
        <v>58</v>
      </c>
      <c r="G59" s="5" t="s">
        <v>31</v>
      </c>
      <c r="H59" s="5"/>
      <c r="I59" s="5" t="s">
        <v>111</v>
      </c>
      <c r="J59" s="2"/>
      <c r="K59" s="5">
        <v>2</v>
      </c>
      <c r="L59" s="6"/>
      <c r="M59" s="7"/>
      <c r="N59" s="2"/>
      <c r="O59" s="6"/>
    </row>
    <row r="60" spans="1:15" ht="17" x14ac:dyDescent="0.2">
      <c r="A60" s="2">
        <v>56</v>
      </c>
      <c r="B60" s="3">
        <v>44965</v>
      </c>
      <c r="C60" s="4" t="s">
        <v>141</v>
      </c>
      <c r="D60" s="4" t="s">
        <v>16</v>
      </c>
      <c r="E60" s="2" t="s">
        <v>17</v>
      </c>
      <c r="F60" s="5" t="s">
        <v>30</v>
      </c>
      <c r="G60" s="5" t="s">
        <v>36</v>
      </c>
      <c r="H60" s="5"/>
      <c r="I60" s="5" t="s">
        <v>104</v>
      </c>
      <c r="J60" s="2"/>
      <c r="K60" s="5">
        <v>4</v>
      </c>
      <c r="L60" s="6"/>
      <c r="M60" s="7"/>
      <c r="N60" s="2"/>
      <c r="O60" s="6"/>
    </row>
    <row r="61" spans="1:15" ht="17" x14ac:dyDescent="0.2">
      <c r="A61" s="2">
        <v>57</v>
      </c>
      <c r="B61" s="3">
        <v>44965</v>
      </c>
      <c r="C61" s="4" t="s">
        <v>142</v>
      </c>
      <c r="D61" s="4" t="s">
        <v>16</v>
      </c>
      <c r="E61" s="2" t="s">
        <v>17</v>
      </c>
      <c r="F61" s="5" t="s">
        <v>69</v>
      </c>
      <c r="G61" s="5" t="s">
        <v>40</v>
      </c>
      <c r="H61" s="5"/>
      <c r="I61" s="5" t="s">
        <v>37</v>
      </c>
      <c r="J61" s="2"/>
      <c r="K61" s="5">
        <v>5</v>
      </c>
      <c r="L61" s="6"/>
      <c r="M61" s="7"/>
      <c r="N61" s="2"/>
      <c r="O61" s="6"/>
    </row>
    <row r="62" spans="1:15" ht="17" x14ac:dyDescent="0.2">
      <c r="A62" s="2">
        <v>58</v>
      </c>
      <c r="B62" s="3">
        <v>44965</v>
      </c>
      <c r="C62" s="4" t="s">
        <v>143</v>
      </c>
      <c r="D62" s="4" t="s">
        <v>34</v>
      </c>
      <c r="E62" s="2" t="s">
        <v>17</v>
      </c>
      <c r="F62" s="5" t="s">
        <v>71</v>
      </c>
      <c r="G62" s="5" t="s">
        <v>40</v>
      </c>
      <c r="H62" s="5"/>
      <c r="I62" s="5" t="s">
        <v>37</v>
      </c>
      <c r="J62" s="2"/>
      <c r="K62" s="5">
        <v>5</v>
      </c>
      <c r="L62" s="6"/>
      <c r="M62" s="7"/>
      <c r="N62" s="2"/>
      <c r="O62" s="6"/>
    </row>
    <row r="63" spans="1:15" ht="17" x14ac:dyDescent="0.2">
      <c r="A63" s="2">
        <v>59</v>
      </c>
      <c r="B63" s="3">
        <v>44965</v>
      </c>
      <c r="C63" s="4" t="s">
        <v>144</v>
      </c>
      <c r="D63" s="4" t="s">
        <v>16</v>
      </c>
      <c r="E63" s="2" t="s">
        <v>17</v>
      </c>
      <c r="F63" s="5" t="s">
        <v>74</v>
      </c>
      <c r="G63" s="5" t="s">
        <v>46</v>
      </c>
      <c r="H63" s="5"/>
      <c r="I63" s="5" t="s">
        <v>37</v>
      </c>
      <c r="J63" s="2"/>
      <c r="K63" s="5">
        <v>7</v>
      </c>
      <c r="L63" s="6"/>
      <c r="M63" s="7"/>
      <c r="N63" s="2"/>
      <c r="O63" s="6"/>
    </row>
    <row r="64" spans="1:15" ht="17" x14ac:dyDescent="0.2">
      <c r="A64" s="2">
        <v>60</v>
      </c>
      <c r="B64" s="3">
        <v>44965</v>
      </c>
      <c r="C64" s="4" t="s">
        <v>145</v>
      </c>
      <c r="D64" s="4" t="s">
        <v>16</v>
      </c>
      <c r="E64" s="2" t="s">
        <v>17</v>
      </c>
      <c r="F64" s="5" t="s">
        <v>76</v>
      </c>
      <c r="G64" s="5" t="s">
        <v>36</v>
      </c>
      <c r="H64" s="5"/>
      <c r="I64" s="5" t="s">
        <v>104</v>
      </c>
      <c r="J64" s="2"/>
      <c r="K64" s="5">
        <v>7</v>
      </c>
      <c r="L64" s="6"/>
      <c r="M64" s="7"/>
      <c r="N64" s="2"/>
      <c r="O64" s="6"/>
    </row>
    <row r="65" spans="1:15" ht="17" x14ac:dyDescent="0.2">
      <c r="A65" s="2">
        <v>61</v>
      </c>
      <c r="B65" s="3">
        <v>44965</v>
      </c>
      <c r="C65" s="4" t="s">
        <v>146</v>
      </c>
      <c r="D65" s="4" t="s">
        <v>34</v>
      </c>
      <c r="E65" s="2" t="s">
        <v>17</v>
      </c>
      <c r="F65" s="5" t="s">
        <v>30</v>
      </c>
      <c r="G65" s="5" t="s">
        <v>52</v>
      </c>
      <c r="H65" s="5"/>
      <c r="I65" s="5" t="s">
        <v>147</v>
      </c>
      <c r="J65" s="2"/>
      <c r="K65" s="5">
        <v>7</v>
      </c>
      <c r="L65" s="6"/>
      <c r="M65" s="7"/>
      <c r="N65" s="2"/>
      <c r="O65" s="6"/>
    </row>
    <row r="66" spans="1:15" ht="17" x14ac:dyDescent="0.2">
      <c r="A66" s="2">
        <v>62</v>
      </c>
      <c r="B66" s="3">
        <v>44966</v>
      </c>
      <c r="C66" s="4" t="s">
        <v>148</v>
      </c>
      <c r="D66" s="4" t="s">
        <v>16</v>
      </c>
      <c r="E66" s="2" t="s">
        <v>17</v>
      </c>
      <c r="F66" s="5" t="s">
        <v>82</v>
      </c>
      <c r="G66" s="5" t="s">
        <v>56</v>
      </c>
      <c r="H66" s="5"/>
      <c r="I66" s="5" t="s">
        <v>99</v>
      </c>
      <c r="J66" s="2"/>
      <c r="K66" s="5">
        <v>8</v>
      </c>
      <c r="L66" s="6"/>
      <c r="M66" s="7"/>
      <c r="N66" s="2"/>
      <c r="O66" s="6"/>
    </row>
    <row r="67" spans="1:15" ht="17" x14ac:dyDescent="0.2">
      <c r="A67" s="2">
        <v>63</v>
      </c>
      <c r="B67" s="3">
        <v>44966</v>
      </c>
      <c r="C67" s="4" t="s">
        <v>149</v>
      </c>
      <c r="D67" s="4" t="s">
        <v>16</v>
      </c>
      <c r="E67" s="2" t="s">
        <v>17</v>
      </c>
      <c r="F67" s="5" t="s">
        <v>91</v>
      </c>
      <c r="G67" s="5" t="s">
        <v>59</v>
      </c>
      <c r="H67" s="5"/>
      <c r="I67" s="5" t="s">
        <v>99</v>
      </c>
      <c r="J67" s="2"/>
      <c r="K67" s="5">
        <v>8</v>
      </c>
      <c r="L67" s="6"/>
      <c r="M67" s="7"/>
      <c r="N67" s="2"/>
      <c r="O67" s="6"/>
    </row>
    <row r="68" spans="1:15" ht="17" x14ac:dyDescent="0.2">
      <c r="A68" s="2">
        <v>64</v>
      </c>
      <c r="B68" s="3">
        <v>44966</v>
      </c>
      <c r="C68" s="4" t="s">
        <v>150</v>
      </c>
      <c r="D68" s="4" t="s">
        <v>34</v>
      </c>
      <c r="E68" s="2" t="s">
        <v>17</v>
      </c>
      <c r="F68" s="5" t="s">
        <v>94</v>
      </c>
      <c r="G68" s="5" t="s">
        <v>61</v>
      </c>
      <c r="H68" s="5"/>
      <c r="I68" s="5" t="s">
        <v>62</v>
      </c>
      <c r="J68" s="2"/>
      <c r="K68" s="5">
        <v>9</v>
      </c>
      <c r="L68" s="6"/>
      <c r="M68" s="7"/>
      <c r="N68" s="2"/>
      <c r="O68" s="6"/>
    </row>
    <row r="69" spans="1:15" ht="17" x14ac:dyDescent="0.2">
      <c r="A69" s="2">
        <v>65</v>
      </c>
      <c r="B69" s="3">
        <v>44966</v>
      </c>
      <c r="C69" s="4" t="s">
        <v>151</v>
      </c>
      <c r="D69" s="4" t="s">
        <v>16</v>
      </c>
      <c r="E69" s="2" t="s">
        <v>17</v>
      </c>
      <c r="F69" s="5" t="s">
        <v>96</v>
      </c>
      <c r="G69" s="5" t="s">
        <v>36</v>
      </c>
      <c r="H69" s="5"/>
      <c r="I69" s="5" t="s">
        <v>106</v>
      </c>
      <c r="J69" s="2"/>
      <c r="K69" s="5">
        <v>12</v>
      </c>
      <c r="L69" s="6"/>
      <c r="M69" s="7"/>
      <c r="N69" s="2"/>
      <c r="O69" s="6"/>
    </row>
    <row r="70" spans="1:15" ht="17" x14ac:dyDescent="0.2">
      <c r="A70" s="2">
        <v>66</v>
      </c>
      <c r="B70" s="3">
        <v>44966</v>
      </c>
      <c r="C70" s="4" t="s">
        <v>152</v>
      </c>
      <c r="D70" s="4" t="s">
        <v>34</v>
      </c>
      <c r="E70" s="2" t="s">
        <v>48</v>
      </c>
      <c r="F70" s="5" t="s">
        <v>98</v>
      </c>
      <c r="G70" s="5" t="s">
        <v>40</v>
      </c>
      <c r="H70" s="5"/>
      <c r="I70" s="5" t="s">
        <v>41</v>
      </c>
      <c r="J70" s="2"/>
      <c r="K70" s="5">
        <v>11</v>
      </c>
      <c r="L70" s="6"/>
      <c r="M70" s="7"/>
      <c r="N70" s="2"/>
      <c r="O70" s="6"/>
    </row>
    <row r="71" spans="1:15" ht="17" x14ac:dyDescent="0.2">
      <c r="A71" s="2">
        <v>67</v>
      </c>
      <c r="B71" s="3">
        <v>44966</v>
      </c>
      <c r="C71" s="4" t="s">
        <v>153</v>
      </c>
      <c r="D71" s="4" t="s">
        <v>16</v>
      </c>
      <c r="E71" s="2" t="s">
        <v>48</v>
      </c>
      <c r="F71" s="5" t="s">
        <v>23</v>
      </c>
      <c r="G71" s="5" t="s">
        <v>40</v>
      </c>
      <c r="H71" s="5"/>
      <c r="I71" s="5" t="s">
        <v>106</v>
      </c>
      <c r="J71" s="2"/>
      <c r="K71" s="5">
        <v>11</v>
      </c>
      <c r="L71" s="6"/>
      <c r="M71" s="7"/>
      <c r="N71" s="8"/>
      <c r="O71" s="6"/>
    </row>
    <row r="72" spans="1:15" ht="17" x14ac:dyDescent="0.2">
      <c r="A72" s="2">
        <v>68</v>
      </c>
      <c r="B72" s="3">
        <v>44966</v>
      </c>
      <c r="C72" s="4" t="s">
        <v>154</v>
      </c>
      <c r="D72" s="4" t="s">
        <v>16</v>
      </c>
      <c r="E72" s="2" t="s">
        <v>48</v>
      </c>
      <c r="F72" s="5" t="s">
        <v>28</v>
      </c>
      <c r="G72" s="5" t="s">
        <v>46</v>
      </c>
      <c r="H72" s="5"/>
      <c r="I72" s="5" t="s">
        <v>106</v>
      </c>
      <c r="J72" s="2"/>
      <c r="K72" s="5">
        <v>15</v>
      </c>
      <c r="L72" s="6"/>
      <c r="M72" s="7"/>
      <c r="N72" s="2"/>
      <c r="O72" s="6"/>
    </row>
    <row r="73" spans="1:15" ht="17" x14ac:dyDescent="0.2">
      <c r="A73" s="2">
        <v>69</v>
      </c>
      <c r="B73" s="3">
        <v>44967</v>
      </c>
      <c r="C73" s="4" t="s">
        <v>155</v>
      </c>
      <c r="D73" s="4" t="s">
        <v>16</v>
      </c>
      <c r="E73" s="2" t="s">
        <v>48</v>
      </c>
      <c r="F73" s="5" t="s">
        <v>74</v>
      </c>
      <c r="G73" s="5" t="s">
        <v>36</v>
      </c>
      <c r="H73" s="5"/>
      <c r="I73" s="5" t="s">
        <v>41</v>
      </c>
      <c r="J73" s="2"/>
      <c r="K73" s="5">
        <v>13</v>
      </c>
      <c r="L73" s="6"/>
      <c r="M73" s="7"/>
      <c r="N73" s="2"/>
      <c r="O73" s="6"/>
    </row>
    <row r="74" spans="1:15" ht="17" x14ac:dyDescent="0.2">
      <c r="A74" s="2">
        <v>70</v>
      </c>
      <c r="B74" s="3">
        <v>44967</v>
      </c>
      <c r="C74" s="4" t="s">
        <v>156</v>
      </c>
      <c r="D74" s="4" t="s">
        <v>34</v>
      </c>
      <c r="E74" s="2" t="s">
        <v>22</v>
      </c>
      <c r="F74" s="5" t="s">
        <v>76</v>
      </c>
      <c r="G74" s="5" t="s">
        <v>52</v>
      </c>
      <c r="H74" s="5"/>
      <c r="I74" s="5" t="s">
        <v>92</v>
      </c>
      <c r="J74" s="2"/>
      <c r="K74" s="5">
        <v>2</v>
      </c>
      <c r="L74" s="6"/>
      <c r="M74" s="7"/>
      <c r="N74" s="2"/>
      <c r="O74" s="6"/>
    </row>
    <row r="75" spans="1:15" ht="17" x14ac:dyDescent="0.2">
      <c r="A75" s="2">
        <v>71</v>
      </c>
      <c r="B75" s="3">
        <v>44967</v>
      </c>
      <c r="C75" s="4" t="s">
        <v>157</v>
      </c>
      <c r="D75" s="4" t="s">
        <v>34</v>
      </c>
      <c r="E75" s="2" t="s">
        <v>22</v>
      </c>
      <c r="F75" s="5" t="s">
        <v>30</v>
      </c>
      <c r="G75" s="5" t="s">
        <v>56</v>
      </c>
      <c r="H75" s="5"/>
      <c r="I75" s="5" t="s">
        <v>92</v>
      </c>
      <c r="J75" s="2"/>
      <c r="K75" s="5">
        <v>2</v>
      </c>
      <c r="L75" s="6"/>
      <c r="M75" s="7"/>
      <c r="N75" s="2"/>
      <c r="O75" s="6"/>
    </row>
    <row r="76" spans="1:15" ht="17" x14ac:dyDescent="0.2">
      <c r="A76" s="2">
        <v>72</v>
      </c>
      <c r="B76" s="3">
        <v>44967</v>
      </c>
      <c r="C76" s="4" t="s">
        <v>158</v>
      </c>
      <c r="D76" s="4" t="s">
        <v>16</v>
      </c>
      <c r="E76" s="2" t="s">
        <v>22</v>
      </c>
      <c r="F76" s="5" t="s">
        <v>82</v>
      </c>
      <c r="G76" s="5" t="s">
        <v>59</v>
      </c>
      <c r="H76" s="5"/>
      <c r="I76" s="5" t="s">
        <v>159</v>
      </c>
      <c r="J76" s="2"/>
      <c r="K76" s="5">
        <v>2</v>
      </c>
      <c r="L76" s="6"/>
      <c r="M76" s="7"/>
      <c r="N76" s="2"/>
      <c r="O76" s="6"/>
    </row>
    <row r="77" spans="1:15" ht="17" x14ac:dyDescent="0.2">
      <c r="A77" s="2">
        <v>73</v>
      </c>
      <c r="B77" s="3">
        <v>44967</v>
      </c>
      <c r="C77" s="4" t="s">
        <v>160</v>
      </c>
      <c r="D77" s="4" t="s">
        <v>16</v>
      </c>
      <c r="E77" s="2" t="s">
        <v>22</v>
      </c>
      <c r="F77" s="5" t="s">
        <v>82</v>
      </c>
      <c r="G77" s="5" t="s">
        <v>61</v>
      </c>
      <c r="H77" s="5"/>
      <c r="I77" s="5" t="s">
        <v>62</v>
      </c>
      <c r="J77" s="2"/>
      <c r="K77" s="5">
        <v>3</v>
      </c>
      <c r="L77" s="6"/>
      <c r="M77" s="7"/>
      <c r="N77" s="2"/>
      <c r="O77" s="6"/>
    </row>
    <row r="78" spans="1:15" ht="17" x14ac:dyDescent="0.2">
      <c r="A78" s="2">
        <v>74</v>
      </c>
      <c r="B78" s="3">
        <v>44967</v>
      </c>
      <c r="C78" s="4" t="s">
        <v>161</v>
      </c>
      <c r="D78" s="4" t="s">
        <v>16</v>
      </c>
      <c r="E78" s="2" t="s">
        <v>22</v>
      </c>
      <c r="F78" s="5" t="s">
        <v>87</v>
      </c>
      <c r="G78" s="5" t="s">
        <v>61</v>
      </c>
      <c r="H78" s="5"/>
      <c r="I78" s="5" t="s">
        <v>64</v>
      </c>
      <c r="J78" s="2"/>
      <c r="K78" s="5">
        <v>4</v>
      </c>
      <c r="L78" s="6"/>
      <c r="M78" s="7"/>
      <c r="N78" s="2"/>
      <c r="O78" s="6"/>
    </row>
    <row r="79" spans="1:15" ht="17" x14ac:dyDescent="0.2">
      <c r="A79" s="2">
        <v>75</v>
      </c>
      <c r="B79" s="3">
        <v>44967</v>
      </c>
      <c r="C79" s="4" t="s">
        <v>162</v>
      </c>
      <c r="D79" s="4" t="s">
        <v>16</v>
      </c>
      <c r="E79" s="2" t="s">
        <v>22</v>
      </c>
      <c r="F79" s="5" t="s">
        <v>91</v>
      </c>
      <c r="G79" s="5" t="s">
        <v>67</v>
      </c>
      <c r="H79" s="5"/>
      <c r="I79" s="5" t="s">
        <v>62</v>
      </c>
      <c r="J79" s="2"/>
      <c r="K79" s="5">
        <v>5</v>
      </c>
      <c r="L79" s="6"/>
      <c r="M79" s="7"/>
      <c r="N79" s="2"/>
      <c r="O79" s="6"/>
    </row>
    <row r="80" spans="1:15" ht="17" x14ac:dyDescent="0.2">
      <c r="A80" s="2">
        <v>76</v>
      </c>
      <c r="B80" s="3">
        <v>44967</v>
      </c>
      <c r="C80" s="4" t="s">
        <v>163</v>
      </c>
      <c r="D80" s="4" t="s">
        <v>34</v>
      </c>
      <c r="E80" s="2" t="s">
        <v>22</v>
      </c>
      <c r="F80" s="5" t="s">
        <v>94</v>
      </c>
      <c r="G80" s="5" t="s">
        <v>67</v>
      </c>
      <c r="H80" s="5"/>
      <c r="I80" s="5" t="s">
        <v>72</v>
      </c>
      <c r="J80" s="2"/>
      <c r="K80" s="5">
        <v>6</v>
      </c>
      <c r="L80" s="6"/>
      <c r="M80" s="7"/>
      <c r="N80" s="2"/>
      <c r="O80" s="6"/>
    </row>
    <row r="81" spans="1:15" ht="17" x14ac:dyDescent="0.2">
      <c r="A81" s="2">
        <v>77</v>
      </c>
      <c r="B81" s="3">
        <v>44967</v>
      </c>
      <c r="C81" s="4" t="s">
        <v>164</v>
      </c>
      <c r="D81" s="4" t="s">
        <v>34</v>
      </c>
      <c r="E81" s="2" t="s">
        <v>22</v>
      </c>
      <c r="F81" s="5" t="s">
        <v>96</v>
      </c>
      <c r="G81" s="5" t="s">
        <v>67</v>
      </c>
      <c r="H81" s="5"/>
      <c r="I81" s="5" t="s">
        <v>64</v>
      </c>
      <c r="J81" s="2"/>
      <c r="K81" s="5">
        <v>10</v>
      </c>
      <c r="L81" s="6"/>
      <c r="M81" s="7"/>
      <c r="N81" s="2"/>
      <c r="O81" s="6"/>
    </row>
    <row r="82" spans="1:15" ht="17" x14ac:dyDescent="0.2">
      <c r="A82" s="2">
        <v>78</v>
      </c>
      <c r="B82" s="3">
        <v>44968</v>
      </c>
      <c r="C82" s="4" t="s">
        <v>165</v>
      </c>
      <c r="D82" s="4" t="s">
        <v>16</v>
      </c>
      <c r="E82" s="2" t="s">
        <v>22</v>
      </c>
      <c r="F82" s="5" t="s">
        <v>98</v>
      </c>
      <c r="G82" s="5" t="s">
        <v>67</v>
      </c>
      <c r="H82" s="5"/>
      <c r="I82" s="5" t="s">
        <v>62</v>
      </c>
      <c r="J82" s="2"/>
      <c r="K82" s="5">
        <v>9</v>
      </c>
      <c r="L82" s="6"/>
      <c r="M82" s="7"/>
      <c r="N82" s="2"/>
      <c r="O82" s="6"/>
    </row>
    <row r="83" spans="1:15" ht="17" x14ac:dyDescent="0.2">
      <c r="A83" s="2">
        <v>79</v>
      </c>
      <c r="B83" s="3">
        <v>44968</v>
      </c>
      <c r="C83" s="4" t="s">
        <v>166</v>
      </c>
      <c r="D83" s="4" t="s">
        <v>16</v>
      </c>
      <c r="E83" s="2" t="s">
        <v>22</v>
      </c>
      <c r="F83" s="5" t="s">
        <v>23</v>
      </c>
      <c r="G83" s="5" t="s">
        <v>77</v>
      </c>
      <c r="H83" s="5"/>
      <c r="I83" s="5" t="s">
        <v>72</v>
      </c>
      <c r="J83" s="2"/>
      <c r="K83" s="5">
        <v>5</v>
      </c>
      <c r="L83" s="6"/>
      <c r="M83" s="7"/>
      <c r="N83" s="2"/>
      <c r="O83" s="6"/>
    </row>
    <row r="84" spans="1:15" ht="17" x14ac:dyDescent="0.2">
      <c r="A84" s="2">
        <v>80</v>
      </c>
      <c r="B84" s="3">
        <v>44968</v>
      </c>
      <c r="C84" s="4" t="s">
        <v>167</v>
      </c>
      <c r="D84" s="4" t="s">
        <v>16</v>
      </c>
      <c r="E84" s="2" t="s">
        <v>17</v>
      </c>
      <c r="F84" s="5" t="s">
        <v>28</v>
      </c>
      <c r="G84" s="5" t="s">
        <v>80</v>
      </c>
      <c r="H84" s="5"/>
      <c r="I84" s="5" t="s">
        <v>72</v>
      </c>
      <c r="J84" s="2"/>
      <c r="K84" s="5">
        <v>5</v>
      </c>
      <c r="L84" s="6"/>
      <c r="M84" s="7"/>
      <c r="N84" s="2"/>
      <c r="O84" s="6"/>
    </row>
    <row r="85" spans="1:15" ht="17" x14ac:dyDescent="0.2">
      <c r="A85" s="2">
        <v>81</v>
      </c>
      <c r="B85" s="3">
        <v>44968</v>
      </c>
      <c r="C85" s="4" t="s">
        <v>168</v>
      </c>
      <c r="D85" s="4" t="s">
        <v>34</v>
      </c>
      <c r="E85" s="2" t="s">
        <v>17</v>
      </c>
      <c r="F85" s="5" t="s">
        <v>30</v>
      </c>
      <c r="G85" s="5" t="s">
        <v>61</v>
      </c>
      <c r="H85" s="5"/>
      <c r="I85" s="5" t="s">
        <v>62</v>
      </c>
      <c r="J85" s="2"/>
      <c r="K85" s="5">
        <v>3</v>
      </c>
      <c r="L85" s="6"/>
      <c r="M85" s="7"/>
      <c r="N85" s="2"/>
      <c r="O85" s="6"/>
    </row>
    <row r="86" spans="1:15" ht="17" x14ac:dyDescent="0.2">
      <c r="A86" s="2">
        <v>82</v>
      </c>
      <c r="B86" s="3">
        <v>44969</v>
      </c>
      <c r="C86" s="4" t="s">
        <v>169</v>
      </c>
      <c r="D86" s="4" t="s">
        <v>16</v>
      </c>
      <c r="E86" s="2" t="s">
        <v>17</v>
      </c>
      <c r="F86" s="5" t="s">
        <v>35</v>
      </c>
      <c r="G86" s="5" t="s">
        <v>24</v>
      </c>
      <c r="H86" s="5"/>
      <c r="I86" s="5" t="s">
        <v>115</v>
      </c>
      <c r="J86" s="2"/>
      <c r="K86" s="5">
        <v>2</v>
      </c>
      <c r="L86" s="6"/>
      <c r="M86" s="7"/>
      <c r="N86" s="2"/>
      <c r="O86" s="6"/>
    </row>
    <row r="87" spans="1:15" ht="17" x14ac:dyDescent="0.2">
      <c r="A87" s="2">
        <v>83</v>
      </c>
      <c r="B87" s="3">
        <v>44969</v>
      </c>
      <c r="C87" s="4" t="s">
        <v>170</v>
      </c>
      <c r="D87" s="4" t="s">
        <v>34</v>
      </c>
      <c r="E87" s="2" t="s">
        <v>17</v>
      </c>
      <c r="F87" s="5" t="s">
        <v>39</v>
      </c>
      <c r="G87" s="5" t="s">
        <v>19</v>
      </c>
      <c r="H87" s="5"/>
      <c r="I87" s="5" t="s">
        <v>25</v>
      </c>
      <c r="J87" s="2"/>
      <c r="K87" s="5">
        <v>2</v>
      </c>
      <c r="L87" s="6"/>
      <c r="M87" s="7"/>
      <c r="N87" s="2"/>
      <c r="O87" s="6"/>
    </row>
    <row r="88" spans="1:15" ht="17" x14ac:dyDescent="0.2">
      <c r="A88" s="2">
        <v>84</v>
      </c>
      <c r="B88" s="3">
        <v>44969</v>
      </c>
      <c r="C88" s="4" t="s">
        <v>171</v>
      </c>
      <c r="D88" s="4" t="s">
        <v>16</v>
      </c>
      <c r="E88" s="2" t="s">
        <v>17</v>
      </c>
      <c r="F88" s="5" t="s">
        <v>43</v>
      </c>
      <c r="G88" s="5" t="s">
        <v>31</v>
      </c>
      <c r="H88" s="5"/>
      <c r="I88" s="5" t="s">
        <v>25</v>
      </c>
      <c r="J88" s="2"/>
      <c r="K88" s="5">
        <v>2</v>
      </c>
      <c r="L88" s="6"/>
      <c r="M88" s="7"/>
      <c r="N88" s="2"/>
      <c r="O88" s="6"/>
    </row>
    <row r="89" spans="1:15" ht="17" x14ac:dyDescent="0.2">
      <c r="A89" s="2">
        <v>85</v>
      </c>
      <c r="B89" s="3">
        <v>44969</v>
      </c>
      <c r="C89" s="4" t="s">
        <v>172</v>
      </c>
      <c r="D89" s="4" t="s">
        <v>16</v>
      </c>
      <c r="E89" s="2" t="s">
        <v>17</v>
      </c>
      <c r="F89" s="5" t="s">
        <v>45</v>
      </c>
      <c r="G89" s="5" t="s">
        <v>110</v>
      </c>
      <c r="H89" s="5"/>
      <c r="I89" s="5" t="s">
        <v>20</v>
      </c>
      <c r="J89" s="2"/>
      <c r="K89" s="5">
        <v>4</v>
      </c>
      <c r="L89" s="6"/>
      <c r="M89" s="7"/>
      <c r="N89" s="2"/>
      <c r="O89" s="6"/>
    </row>
    <row r="90" spans="1:15" ht="17" x14ac:dyDescent="0.2">
      <c r="A90" s="2">
        <v>86</v>
      </c>
      <c r="B90" s="3">
        <v>44969</v>
      </c>
      <c r="C90" s="4" t="s">
        <v>173</v>
      </c>
      <c r="D90" s="4" t="s">
        <v>34</v>
      </c>
      <c r="E90" s="2" t="s">
        <v>17</v>
      </c>
      <c r="F90" s="5" t="s">
        <v>49</v>
      </c>
      <c r="G90" s="5" t="s">
        <v>36</v>
      </c>
      <c r="H90" s="5"/>
      <c r="I90" s="5" t="s">
        <v>41</v>
      </c>
      <c r="J90" s="2"/>
      <c r="K90" s="5">
        <v>5</v>
      </c>
      <c r="L90" s="6"/>
      <c r="M90" s="7"/>
      <c r="N90" s="2"/>
      <c r="O90" s="6"/>
    </row>
    <row r="91" spans="1:15" ht="17" x14ac:dyDescent="0.2">
      <c r="A91" s="2">
        <v>87</v>
      </c>
      <c r="B91" s="3">
        <v>44970</v>
      </c>
      <c r="C91" s="4" t="s">
        <v>174</v>
      </c>
      <c r="D91" s="4" t="s">
        <v>16</v>
      </c>
      <c r="E91" s="2" t="s">
        <v>17</v>
      </c>
      <c r="F91" s="5" t="s">
        <v>51</v>
      </c>
      <c r="G91" s="5" t="s">
        <v>40</v>
      </c>
      <c r="H91" s="5"/>
      <c r="I91" s="5" t="s">
        <v>41</v>
      </c>
      <c r="J91" s="2"/>
      <c r="K91" s="5">
        <v>5</v>
      </c>
      <c r="L91" s="6"/>
      <c r="M91" s="7"/>
      <c r="N91" s="2"/>
      <c r="O91" s="6"/>
    </row>
    <row r="92" spans="1:15" ht="17" x14ac:dyDescent="0.2">
      <c r="A92" s="2">
        <v>88</v>
      </c>
      <c r="B92" s="3">
        <v>44970</v>
      </c>
      <c r="C92" s="4" t="s">
        <v>175</v>
      </c>
      <c r="D92" s="4" t="s">
        <v>16</v>
      </c>
      <c r="E92" s="2" t="s">
        <v>17</v>
      </c>
      <c r="F92" s="5" t="s">
        <v>30</v>
      </c>
      <c r="G92" s="5" t="s">
        <v>67</v>
      </c>
      <c r="H92" s="5"/>
      <c r="I92" s="5" t="s">
        <v>62</v>
      </c>
      <c r="J92" s="2"/>
      <c r="K92" s="5">
        <v>7</v>
      </c>
      <c r="L92" s="6"/>
      <c r="M92" s="7"/>
      <c r="N92" s="2"/>
      <c r="O92" s="6"/>
    </row>
    <row r="93" spans="1:15" ht="17" x14ac:dyDescent="0.2">
      <c r="A93" s="2">
        <v>89</v>
      </c>
      <c r="B93" s="3">
        <v>44970</v>
      </c>
      <c r="C93" s="4" t="s">
        <v>176</v>
      </c>
      <c r="D93" s="4" t="s">
        <v>16</v>
      </c>
      <c r="E93" s="2" t="s">
        <v>17</v>
      </c>
      <c r="F93" s="5" t="s">
        <v>39</v>
      </c>
      <c r="G93" s="5" t="s">
        <v>31</v>
      </c>
      <c r="H93" s="5"/>
      <c r="I93" s="5" t="s">
        <v>25</v>
      </c>
      <c r="J93" s="2"/>
      <c r="K93" s="5">
        <v>7</v>
      </c>
      <c r="L93" s="6"/>
      <c r="M93" s="7"/>
      <c r="N93" s="2"/>
      <c r="O93" s="6"/>
    </row>
    <row r="94" spans="1:15" ht="17" x14ac:dyDescent="0.2">
      <c r="A94" s="2">
        <v>90</v>
      </c>
      <c r="B94" s="3">
        <v>44970</v>
      </c>
      <c r="C94" s="4" t="s">
        <v>177</v>
      </c>
      <c r="D94" s="4" t="s">
        <v>34</v>
      </c>
      <c r="E94" s="2" t="s">
        <v>17</v>
      </c>
      <c r="F94" s="5" t="s">
        <v>66</v>
      </c>
      <c r="G94" s="5" t="s">
        <v>36</v>
      </c>
      <c r="H94" s="5"/>
      <c r="I94" s="5" t="s">
        <v>41</v>
      </c>
      <c r="J94" s="2"/>
      <c r="K94" s="5">
        <v>7</v>
      </c>
      <c r="L94" s="6"/>
      <c r="M94" s="7"/>
      <c r="N94" s="2"/>
      <c r="O94" s="6"/>
    </row>
    <row r="95" spans="1:15" ht="17" x14ac:dyDescent="0.2">
      <c r="A95" s="2">
        <v>91</v>
      </c>
      <c r="B95" s="3">
        <v>44970</v>
      </c>
      <c r="C95" s="4" t="s">
        <v>178</v>
      </c>
      <c r="D95" s="4" t="s">
        <v>16</v>
      </c>
      <c r="E95" s="2" t="s">
        <v>17</v>
      </c>
      <c r="F95" s="5" t="s">
        <v>69</v>
      </c>
      <c r="G95" s="5" t="s">
        <v>40</v>
      </c>
      <c r="H95" s="5"/>
      <c r="I95" s="5" t="s">
        <v>41</v>
      </c>
      <c r="J95" s="2"/>
      <c r="K95" s="5">
        <v>8</v>
      </c>
      <c r="L95" s="6"/>
      <c r="M95" s="7"/>
      <c r="N95" s="2"/>
      <c r="O95" s="6"/>
    </row>
    <row r="96" spans="1:15" ht="17" x14ac:dyDescent="0.2">
      <c r="A96" s="2">
        <v>92</v>
      </c>
      <c r="B96" s="3">
        <v>44970</v>
      </c>
      <c r="C96" s="4" t="s">
        <v>179</v>
      </c>
      <c r="D96" s="4" t="s">
        <v>16</v>
      </c>
      <c r="E96" s="2" t="s">
        <v>17</v>
      </c>
      <c r="F96" s="5" t="s">
        <v>71</v>
      </c>
      <c r="G96" s="5" t="s">
        <v>31</v>
      </c>
      <c r="H96" s="5"/>
      <c r="I96" s="5" t="s">
        <v>115</v>
      </c>
      <c r="J96" s="2"/>
      <c r="K96" s="5">
        <v>8</v>
      </c>
      <c r="L96" s="6"/>
      <c r="M96" s="7"/>
      <c r="N96" s="2"/>
      <c r="O96" s="6"/>
    </row>
    <row r="97" spans="1:15" ht="17" x14ac:dyDescent="0.2">
      <c r="A97" s="2">
        <v>93</v>
      </c>
      <c r="B97" s="3">
        <v>44971</v>
      </c>
      <c r="C97" s="4" t="s">
        <v>180</v>
      </c>
      <c r="D97" s="4" t="s">
        <v>16</v>
      </c>
      <c r="E97" s="2" t="s">
        <v>17</v>
      </c>
      <c r="F97" s="5" t="s">
        <v>74</v>
      </c>
      <c r="G97" s="5" t="s">
        <v>36</v>
      </c>
      <c r="H97" s="5"/>
      <c r="I97" s="5" t="s">
        <v>37</v>
      </c>
      <c r="J97" s="2"/>
      <c r="K97" s="5">
        <v>9</v>
      </c>
      <c r="L97" s="6"/>
      <c r="M97" s="7"/>
      <c r="N97" s="2"/>
      <c r="O97" s="6"/>
    </row>
    <row r="98" spans="1:15" ht="17" x14ac:dyDescent="0.2">
      <c r="A98" s="2">
        <v>94</v>
      </c>
      <c r="B98" s="3">
        <v>44971</v>
      </c>
      <c r="C98" s="4" t="s">
        <v>181</v>
      </c>
      <c r="D98" s="4" t="s">
        <v>34</v>
      </c>
      <c r="E98" s="2" t="s">
        <v>17</v>
      </c>
      <c r="F98" s="5" t="s">
        <v>76</v>
      </c>
      <c r="G98" s="5" t="s">
        <v>40</v>
      </c>
      <c r="H98" s="5"/>
      <c r="I98" s="5" t="s">
        <v>37</v>
      </c>
      <c r="J98" s="2"/>
      <c r="K98" s="5">
        <v>12</v>
      </c>
      <c r="L98" s="6"/>
      <c r="M98" s="7"/>
      <c r="N98" s="2"/>
      <c r="O98" s="6"/>
    </row>
    <row r="99" spans="1:15" ht="17" x14ac:dyDescent="0.2">
      <c r="A99" s="2">
        <v>95</v>
      </c>
      <c r="B99" s="3">
        <v>44971</v>
      </c>
      <c r="C99" s="4" t="s">
        <v>182</v>
      </c>
      <c r="D99" s="4" t="s">
        <v>16</v>
      </c>
      <c r="E99" s="2" t="s">
        <v>17</v>
      </c>
      <c r="F99" s="5" t="s">
        <v>30</v>
      </c>
      <c r="G99" s="5" t="s">
        <v>31</v>
      </c>
      <c r="H99" s="5"/>
      <c r="I99" s="5" t="s">
        <v>115</v>
      </c>
      <c r="J99" s="2"/>
      <c r="K99" s="5">
        <v>11</v>
      </c>
      <c r="L99" s="6"/>
      <c r="M99" s="7"/>
      <c r="N99" s="2"/>
      <c r="O99" s="6"/>
    </row>
    <row r="100" spans="1:15" ht="17" x14ac:dyDescent="0.2">
      <c r="A100" s="2">
        <v>96</v>
      </c>
      <c r="B100" s="3">
        <v>44971</v>
      </c>
      <c r="C100" s="4" t="s">
        <v>183</v>
      </c>
      <c r="D100" s="4" t="s">
        <v>34</v>
      </c>
      <c r="E100" s="2" t="s">
        <v>17</v>
      </c>
      <c r="F100" s="5" t="s">
        <v>82</v>
      </c>
      <c r="G100" s="5" t="s">
        <v>67</v>
      </c>
      <c r="H100" s="5"/>
      <c r="I100" s="5" t="s">
        <v>62</v>
      </c>
      <c r="J100" s="2"/>
      <c r="K100" s="5">
        <v>3</v>
      </c>
      <c r="L100" s="6"/>
      <c r="M100" s="7"/>
      <c r="N100" s="2"/>
      <c r="O100" s="6"/>
    </row>
    <row r="101" spans="1:15" ht="17" x14ac:dyDescent="0.2">
      <c r="A101" s="2">
        <v>97</v>
      </c>
      <c r="B101" s="3">
        <v>44971</v>
      </c>
      <c r="C101" s="4" t="s">
        <v>184</v>
      </c>
      <c r="D101" s="4" t="s">
        <v>34</v>
      </c>
      <c r="E101" s="2" t="s">
        <v>17</v>
      </c>
      <c r="F101" s="5" t="s">
        <v>82</v>
      </c>
      <c r="G101" s="5" t="s">
        <v>31</v>
      </c>
      <c r="H101" s="5"/>
      <c r="I101" s="5" t="s">
        <v>25</v>
      </c>
      <c r="J101" s="2"/>
      <c r="K101" s="5">
        <v>2</v>
      </c>
      <c r="L101" s="6"/>
      <c r="M101" s="7"/>
      <c r="N101" s="2"/>
      <c r="O101" s="6"/>
    </row>
    <row r="102" spans="1:15" ht="17" x14ac:dyDescent="0.2">
      <c r="A102" s="2">
        <v>98</v>
      </c>
      <c r="B102" s="3">
        <v>44972</v>
      </c>
      <c r="C102" s="4" t="s">
        <v>185</v>
      </c>
      <c r="D102" s="4" t="s">
        <v>16</v>
      </c>
      <c r="E102" s="2" t="s">
        <v>17</v>
      </c>
      <c r="F102" s="5" t="s">
        <v>87</v>
      </c>
      <c r="G102" s="5" t="s">
        <v>59</v>
      </c>
      <c r="H102" s="5"/>
      <c r="I102" s="5" t="s">
        <v>186</v>
      </c>
      <c r="J102" s="2"/>
      <c r="K102" s="5">
        <v>2</v>
      </c>
      <c r="L102" s="6"/>
      <c r="M102" s="7"/>
      <c r="N102" s="2"/>
      <c r="O102" s="6"/>
    </row>
    <row r="103" spans="1:15" ht="17" x14ac:dyDescent="0.2">
      <c r="A103" s="2">
        <v>99</v>
      </c>
      <c r="B103" s="3">
        <v>44972</v>
      </c>
      <c r="C103" s="4" t="s">
        <v>187</v>
      </c>
      <c r="D103" s="4" t="s">
        <v>16</v>
      </c>
      <c r="E103" s="2" t="s">
        <v>17</v>
      </c>
      <c r="F103" s="5" t="s">
        <v>91</v>
      </c>
      <c r="G103" s="5" t="s">
        <v>52</v>
      </c>
      <c r="H103" s="5"/>
      <c r="I103" s="5" t="s">
        <v>186</v>
      </c>
      <c r="J103" s="2"/>
      <c r="K103" s="5">
        <v>4</v>
      </c>
      <c r="L103" s="6"/>
      <c r="M103" s="7"/>
      <c r="N103" s="2"/>
      <c r="O103" s="6"/>
    </row>
    <row r="104" spans="1:15" ht="17" x14ac:dyDescent="0.2">
      <c r="A104" s="2">
        <v>100</v>
      </c>
      <c r="B104" s="3">
        <v>44972</v>
      </c>
      <c r="C104" s="4" t="s">
        <v>188</v>
      </c>
      <c r="D104" s="4" t="s">
        <v>16</v>
      </c>
      <c r="E104" s="2" t="s">
        <v>17</v>
      </c>
      <c r="F104" s="5" t="s">
        <v>94</v>
      </c>
      <c r="G104" s="5" t="s">
        <v>59</v>
      </c>
      <c r="H104" s="5"/>
      <c r="I104" s="5" t="s">
        <v>189</v>
      </c>
      <c r="J104" s="2"/>
      <c r="K104" s="5">
        <v>4</v>
      </c>
      <c r="L104" s="6"/>
      <c r="M104" s="7"/>
      <c r="N104" s="2"/>
      <c r="O104" s="6"/>
    </row>
    <row r="105" spans="1:15" ht="17" x14ac:dyDescent="0.2">
      <c r="A105" s="2">
        <v>101</v>
      </c>
      <c r="B105" s="3">
        <v>44972</v>
      </c>
      <c r="C105" s="4" t="s">
        <v>190</v>
      </c>
      <c r="D105" s="4" t="s">
        <v>16</v>
      </c>
      <c r="E105" s="2" t="s">
        <v>17</v>
      </c>
      <c r="F105" s="5" t="s">
        <v>96</v>
      </c>
      <c r="G105" s="5" t="s">
        <v>67</v>
      </c>
      <c r="H105" s="5"/>
      <c r="I105" s="5" t="s">
        <v>72</v>
      </c>
      <c r="J105" s="2"/>
      <c r="K105" s="5">
        <v>5</v>
      </c>
      <c r="L105" s="6"/>
      <c r="M105" s="7"/>
      <c r="N105" s="2"/>
      <c r="O105" s="6"/>
    </row>
    <row r="106" spans="1:15" ht="17" x14ac:dyDescent="0.2">
      <c r="A106" s="2">
        <v>102</v>
      </c>
      <c r="B106" s="3">
        <v>44972</v>
      </c>
      <c r="C106" s="2" t="s">
        <v>191</v>
      </c>
      <c r="D106" s="4" t="s">
        <v>16</v>
      </c>
      <c r="E106" s="2" t="s">
        <v>17</v>
      </c>
      <c r="F106" s="5" t="s">
        <v>30</v>
      </c>
      <c r="G106" s="5" t="s">
        <v>67</v>
      </c>
      <c r="H106" s="5"/>
      <c r="I106" s="5" t="s">
        <v>64</v>
      </c>
      <c r="J106" s="2"/>
      <c r="K106" s="5">
        <v>5</v>
      </c>
      <c r="L106" s="6"/>
      <c r="M106" s="7"/>
      <c r="N106" s="2"/>
      <c r="O106" s="6"/>
    </row>
    <row r="107" spans="1:15" ht="17" x14ac:dyDescent="0.2">
      <c r="A107" s="2">
        <v>103</v>
      </c>
      <c r="B107" s="3">
        <v>44972</v>
      </c>
      <c r="C107" s="2" t="s">
        <v>192</v>
      </c>
      <c r="D107" s="4" t="s">
        <v>16</v>
      </c>
      <c r="E107" s="2" t="s">
        <v>17</v>
      </c>
      <c r="F107" s="5" t="s">
        <v>39</v>
      </c>
      <c r="G107" s="5" t="s">
        <v>59</v>
      </c>
      <c r="H107" s="5"/>
      <c r="I107" s="5" t="s">
        <v>186</v>
      </c>
      <c r="J107" s="2"/>
      <c r="K107" s="5">
        <v>7</v>
      </c>
      <c r="L107" s="6"/>
      <c r="M107" s="7"/>
      <c r="N107" s="2"/>
      <c r="O107" s="6"/>
    </row>
    <row r="108" spans="1:15" ht="17" x14ac:dyDescent="0.2">
      <c r="A108" s="2">
        <v>104</v>
      </c>
      <c r="B108" s="3">
        <v>44973</v>
      </c>
      <c r="C108" s="2" t="s">
        <v>193</v>
      </c>
      <c r="D108" s="4" t="s">
        <v>34</v>
      </c>
      <c r="E108" s="2" t="s">
        <v>17</v>
      </c>
      <c r="F108" s="5" t="s">
        <v>66</v>
      </c>
      <c r="G108" s="5" t="s">
        <v>31</v>
      </c>
      <c r="H108" s="5"/>
      <c r="I108" s="5" t="s">
        <v>115</v>
      </c>
      <c r="J108" s="2"/>
      <c r="K108" s="5">
        <v>8</v>
      </c>
      <c r="L108" s="6"/>
      <c r="M108" s="7"/>
      <c r="N108" s="2"/>
      <c r="O108" s="6"/>
    </row>
    <row r="109" spans="1:15" ht="17" x14ac:dyDescent="0.2">
      <c r="A109" s="2">
        <v>105</v>
      </c>
      <c r="B109" s="3">
        <v>44973</v>
      </c>
      <c r="C109" s="2" t="s">
        <v>194</v>
      </c>
      <c r="D109" s="4" t="s">
        <v>34</v>
      </c>
      <c r="E109" s="2" t="s">
        <v>17</v>
      </c>
      <c r="F109" s="5" t="s">
        <v>69</v>
      </c>
      <c r="G109" s="5" t="s">
        <v>67</v>
      </c>
      <c r="H109" s="5"/>
      <c r="I109" s="5" t="s">
        <v>72</v>
      </c>
      <c r="J109" s="2"/>
      <c r="K109" s="5">
        <v>8</v>
      </c>
      <c r="L109" s="6"/>
      <c r="M109" s="7"/>
      <c r="N109" s="2"/>
      <c r="O109" s="6"/>
    </row>
    <row r="110" spans="1:15" ht="17" x14ac:dyDescent="0.2">
      <c r="A110" s="2">
        <v>106</v>
      </c>
      <c r="B110" s="3">
        <v>44973</v>
      </c>
      <c r="C110" s="2" t="s">
        <v>195</v>
      </c>
      <c r="D110" s="4" t="s">
        <v>34</v>
      </c>
      <c r="E110" s="2" t="s">
        <v>17</v>
      </c>
      <c r="F110" s="5" t="s">
        <v>71</v>
      </c>
      <c r="G110" s="5" t="s">
        <v>31</v>
      </c>
      <c r="H110" s="5"/>
      <c r="I110" s="5" t="s">
        <v>115</v>
      </c>
      <c r="J110" s="2"/>
      <c r="K110" s="5">
        <v>7</v>
      </c>
      <c r="L110" s="6"/>
      <c r="M110" s="7"/>
      <c r="N110" s="2"/>
      <c r="O110" s="6"/>
    </row>
    <row r="111" spans="1:15" ht="17" x14ac:dyDescent="0.2">
      <c r="A111" s="2">
        <v>107</v>
      </c>
      <c r="B111" s="3">
        <v>44974</v>
      </c>
      <c r="C111" s="2" t="s">
        <v>196</v>
      </c>
      <c r="D111" s="4" t="s">
        <v>34</v>
      </c>
      <c r="E111" s="2" t="s">
        <v>17</v>
      </c>
      <c r="F111" s="5" t="s">
        <v>74</v>
      </c>
      <c r="G111" s="5" t="s">
        <v>31</v>
      </c>
      <c r="H111" s="5"/>
      <c r="I111" s="5" t="s">
        <v>115</v>
      </c>
      <c r="J111" s="2"/>
      <c r="K111" s="5">
        <v>7</v>
      </c>
      <c r="L111" s="6"/>
      <c r="M111" s="7"/>
      <c r="N111" s="2"/>
      <c r="O111" s="6"/>
    </row>
    <row r="112" spans="1:15" ht="17" x14ac:dyDescent="0.2">
      <c r="A112" s="2">
        <v>108</v>
      </c>
      <c r="B112" s="3">
        <v>44974</v>
      </c>
      <c r="C112" s="2" t="s">
        <v>197</v>
      </c>
      <c r="D112" s="4" t="s">
        <v>16</v>
      </c>
      <c r="E112" s="2" t="s">
        <v>198</v>
      </c>
      <c r="F112" s="5" t="s">
        <v>76</v>
      </c>
      <c r="G112" s="5" t="s">
        <v>31</v>
      </c>
      <c r="H112" s="5"/>
      <c r="I112" s="5" t="s">
        <v>115</v>
      </c>
      <c r="J112" s="2"/>
      <c r="K112" s="5">
        <v>5</v>
      </c>
      <c r="L112" s="6"/>
      <c r="M112" s="7"/>
      <c r="N112" s="2"/>
      <c r="O112" s="6"/>
    </row>
    <row r="113" spans="1:15" ht="17" x14ac:dyDescent="0.2">
      <c r="A113" s="2">
        <v>109</v>
      </c>
      <c r="B113" s="3">
        <v>44974</v>
      </c>
      <c r="C113" s="2" t="s">
        <v>199</v>
      </c>
      <c r="D113" s="4" t="s">
        <v>16</v>
      </c>
      <c r="E113" s="2" t="s">
        <v>198</v>
      </c>
      <c r="F113" s="5" t="s">
        <v>30</v>
      </c>
      <c r="G113" s="5" t="s">
        <v>59</v>
      </c>
      <c r="H113" s="5"/>
      <c r="I113" s="5" t="s">
        <v>186</v>
      </c>
      <c r="J113" s="2"/>
      <c r="K113" s="5">
        <v>4</v>
      </c>
      <c r="L113" s="6"/>
      <c r="M113" s="7"/>
      <c r="N113" s="2"/>
      <c r="O113" s="6"/>
    </row>
    <row r="114" spans="1:15" ht="17" x14ac:dyDescent="0.2">
      <c r="A114" s="2">
        <v>110</v>
      </c>
      <c r="B114" s="3">
        <v>44974</v>
      </c>
      <c r="C114" s="2" t="s">
        <v>200</v>
      </c>
      <c r="D114" s="4" t="s">
        <v>34</v>
      </c>
      <c r="E114" s="2" t="s">
        <v>22</v>
      </c>
      <c r="F114" s="5" t="s">
        <v>82</v>
      </c>
      <c r="G114" s="5" t="s">
        <v>59</v>
      </c>
      <c r="H114" s="5"/>
      <c r="I114" s="5" t="s">
        <v>92</v>
      </c>
      <c r="J114" s="2"/>
      <c r="K114" s="5">
        <v>6</v>
      </c>
      <c r="L114" s="6"/>
      <c r="M114" s="7"/>
      <c r="N114" s="2"/>
      <c r="O114" s="6"/>
    </row>
    <row r="115" spans="1:15" ht="17" x14ac:dyDescent="0.2">
      <c r="A115" s="2">
        <v>111</v>
      </c>
      <c r="B115" s="3">
        <v>44974</v>
      </c>
      <c r="C115" s="2" t="s">
        <v>201</v>
      </c>
      <c r="D115" s="4" t="s">
        <v>34</v>
      </c>
      <c r="E115" s="2" t="s">
        <v>198</v>
      </c>
      <c r="F115" s="5" t="s">
        <v>82</v>
      </c>
      <c r="G115" s="5" t="s">
        <v>59</v>
      </c>
      <c r="H115" s="5"/>
      <c r="I115" s="5" t="s">
        <v>92</v>
      </c>
      <c r="J115" s="2"/>
      <c r="K115" s="5">
        <v>8</v>
      </c>
      <c r="L115" s="6"/>
      <c r="M115" s="7"/>
      <c r="N115" s="2"/>
      <c r="O115" s="6"/>
    </row>
    <row r="116" spans="1:15" ht="17" x14ac:dyDescent="0.2">
      <c r="A116" s="2">
        <v>112</v>
      </c>
      <c r="B116" s="3">
        <v>44974</v>
      </c>
      <c r="C116" s="2" t="s">
        <v>202</v>
      </c>
      <c r="D116" s="4" t="s">
        <v>16</v>
      </c>
      <c r="E116" s="2" t="s">
        <v>198</v>
      </c>
      <c r="F116" s="5" t="s">
        <v>87</v>
      </c>
      <c r="G116" s="5" t="s">
        <v>36</v>
      </c>
      <c r="H116" s="5"/>
      <c r="I116" s="5" t="s">
        <v>137</v>
      </c>
      <c r="J116" s="2"/>
      <c r="K116" s="5">
        <v>8</v>
      </c>
      <c r="L116" s="6"/>
      <c r="M116" s="7"/>
      <c r="N116" s="2"/>
      <c r="O116" s="6"/>
    </row>
    <row r="117" spans="1:15" ht="17" x14ac:dyDescent="0.2">
      <c r="A117" s="2">
        <v>113</v>
      </c>
      <c r="B117" s="3">
        <v>44975</v>
      </c>
      <c r="C117" s="2" t="s">
        <v>203</v>
      </c>
      <c r="D117" s="4" t="s">
        <v>16</v>
      </c>
      <c r="E117" s="2" t="s">
        <v>22</v>
      </c>
      <c r="F117" s="5" t="s">
        <v>91</v>
      </c>
      <c r="G117" s="5" t="s">
        <v>40</v>
      </c>
      <c r="H117" s="5"/>
      <c r="I117" s="5" t="s">
        <v>137</v>
      </c>
      <c r="J117" s="2"/>
      <c r="K117" s="5">
        <v>9</v>
      </c>
      <c r="L117" s="6"/>
      <c r="M117" s="7"/>
      <c r="N117" s="2"/>
      <c r="O117" s="6"/>
    </row>
    <row r="118" spans="1:15" ht="17" x14ac:dyDescent="0.2">
      <c r="A118" s="2">
        <v>114</v>
      </c>
      <c r="B118" s="3">
        <v>44975</v>
      </c>
      <c r="C118" s="2" t="s">
        <v>204</v>
      </c>
      <c r="D118" s="4" t="s">
        <v>16</v>
      </c>
      <c r="E118" s="2" t="s">
        <v>198</v>
      </c>
      <c r="F118" s="5" t="s">
        <v>94</v>
      </c>
      <c r="G118" s="5" t="s">
        <v>67</v>
      </c>
      <c r="H118" s="5"/>
      <c r="I118" s="5" t="s">
        <v>72</v>
      </c>
      <c r="J118" s="2"/>
      <c r="K118" s="5">
        <v>11</v>
      </c>
      <c r="L118" s="6"/>
      <c r="M118" s="7"/>
      <c r="N118" s="2"/>
      <c r="O118" s="6"/>
    </row>
    <row r="119" spans="1:15" ht="17" x14ac:dyDescent="0.2">
      <c r="A119" s="2">
        <v>115</v>
      </c>
      <c r="B119" s="3">
        <v>44975</v>
      </c>
      <c r="C119" s="2" t="s">
        <v>205</v>
      </c>
      <c r="D119" s="4" t="s">
        <v>16</v>
      </c>
      <c r="E119" s="2" t="s">
        <v>22</v>
      </c>
      <c r="F119" s="5" t="s">
        <v>96</v>
      </c>
      <c r="G119" s="5" t="s">
        <v>36</v>
      </c>
      <c r="H119" s="5"/>
      <c r="I119" s="5" t="s">
        <v>106</v>
      </c>
      <c r="J119" s="2"/>
      <c r="K119" s="5">
        <v>10</v>
      </c>
      <c r="L119" s="6"/>
      <c r="M119" s="7"/>
      <c r="N119" s="2"/>
      <c r="O119" s="6"/>
    </row>
    <row r="120" spans="1:15" ht="17" x14ac:dyDescent="0.2">
      <c r="A120" s="2">
        <v>116</v>
      </c>
      <c r="B120" s="3">
        <v>44976</v>
      </c>
      <c r="C120" s="2" t="s">
        <v>206</v>
      </c>
      <c r="D120" s="4" t="s">
        <v>16</v>
      </c>
      <c r="E120" s="2" t="s">
        <v>198</v>
      </c>
      <c r="F120" s="5" t="s">
        <v>98</v>
      </c>
      <c r="G120" s="5" t="s">
        <v>52</v>
      </c>
      <c r="H120" s="5"/>
      <c r="I120" s="5" t="s">
        <v>189</v>
      </c>
      <c r="J120" s="2"/>
      <c r="K120" s="5">
        <v>9</v>
      </c>
      <c r="L120" s="6"/>
      <c r="M120" s="7"/>
      <c r="N120" s="2"/>
      <c r="O120" s="6"/>
    </row>
    <row r="121" spans="1:15" ht="17" x14ac:dyDescent="0.2">
      <c r="A121" s="2">
        <v>117</v>
      </c>
      <c r="B121" s="3">
        <v>44976</v>
      </c>
      <c r="C121" s="2" t="s">
        <v>207</v>
      </c>
      <c r="D121" s="4" t="s">
        <v>16</v>
      </c>
      <c r="E121" s="2" t="s">
        <v>48</v>
      </c>
      <c r="F121" s="5" t="s">
        <v>23</v>
      </c>
      <c r="G121" s="5" t="s">
        <v>56</v>
      </c>
      <c r="H121" s="5"/>
      <c r="I121" s="5" t="s">
        <v>186</v>
      </c>
      <c r="J121" s="2"/>
      <c r="K121" s="5">
        <v>5</v>
      </c>
      <c r="L121" s="6"/>
      <c r="M121" s="7"/>
      <c r="N121" s="2"/>
      <c r="O121" s="6"/>
    </row>
    <row r="122" spans="1:15" ht="17" x14ac:dyDescent="0.2">
      <c r="A122" s="2">
        <v>118</v>
      </c>
      <c r="B122" s="3">
        <v>44976</v>
      </c>
      <c r="C122" s="2" t="s">
        <v>208</v>
      </c>
      <c r="D122" s="4" t="s">
        <v>16</v>
      </c>
      <c r="E122" s="2" t="s">
        <v>48</v>
      </c>
      <c r="F122" s="5" t="s">
        <v>28</v>
      </c>
      <c r="G122" s="5" t="s">
        <v>59</v>
      </c>
      <c r="H122" s="5"/>
      <c r="I122" s="5" t="s">
        <v>92</v>
      </c>
      <c r="J122" s="2"/>
      <c r="K122" s="5">
        <v>5</v>
      </c>
      <c r="L122" s="6"/>
      <c r="M122" s="7"/>
      <c r="N122" s="2"/>
      <c r="O122" s="6"/>
    </row>
    <row r="123" spans="1:15" ht="17" x14ac:dyDescent="0.2">
      <c r="A123" s="2">
        <v>119</v>
      </c>
      <c r="B123" s="3">
        <v>44976</v>
      </c>
      <c r="C123" s="2" t="s">
        <v>209</v>
      </c>
      <c r="D123" s="4" t="s">
        <v>16</v>
      </c>
      <c r="E123" s="2" t="s">
        <v>48</v>
      </c>
      <c r="F123" s="5" t="s">
        <v>30</v>
      </c>
      <c r="G123" s="5" t="s">
        <v>61</v>
      </c>
      <c r="H123" s="5"/>
      <c r="I123" s="5" t="s">
        <v>72</v>
      </c>
      <c r="J123" s="2"/>
      <c r="K123" s="5">
        <v>3</v>
      </c>
      <c r="L123" s="6"/>
      <c r="M123" s="7"/>
      <c r="N123" s="2"/>
      <c r="O123" s="6"/>
    </row>
    <row r="124" spans="1:15" ht="17" x14ac:dyDescent="0.2">
      <c r="A124" s="2">
        <v>120</v>
      </c>
      <c r="B124" s="3">
        <v>44976</v>
      </c>
      <c r="C124" s="2" t="s">
        <v>210</v>
      </c>
      <c r="D124" s="4" t="s">
        <v>16</v>
      </c>
      <c r="E124" s="2" t="s">
        <v>48</v>
      </c>
      <c r="F124" s="5" t="s">
        <v>35</v>
      </c>
      <c r="G124" s="5" t="s">
        <v>110</v>
      </c>
      <c r="H124" s="5"/>
      <c r="I124" s="5" t="s">
        <v>25</v>
      </c>
      <c r="J124" s="2"/>
      <c r="K124" s="5">
        <v>2</v>
      </c>
      <c r="L124" s="6"/>
      <c r="M124" s="7"/>
      <c r="N124" s="2"/>
      <c r="O124" s="6"/>
    </row>
    <row r="125" spans="1:15" ht="17" x14ac:dyDescent="0.2">
      <c r="A125" s="2">
        <v>121</v>
      </c>
      <c r="B125" s="3">
        <v>44977</v>
      </c>
      <c r="C125" s="2" t="s">
        <v>211</v>
      </c>
      <c r="D125" s="4" t="s">
        <v>16</v>
      </c>
      <c r="E125" s="2" t="s">
        <v>48</v>
      </c>
      <c r="F125" s="5" t="s">
        <v>39</v>
      </c>
      <c r="G125" s="5" t="s">
        <v>19</v>
      </c>
      <c r="H125" s="5"/>
      <c r="I125" s="5" t="s">
        <v>32</v>
      </c>
      <c r="J125" s="2"/>
      <c r="K125" s="5">
        <v>2</v>
      </c>
      <c r="L125" s="6"/>
      <c r="M125" s="7"/>
      <c r="N125" s="2"/>
      <c r="O125" s="6"/>
    </row>
    <row r="126" spans="1:15" ht="17" x14ac:dyDescent="0.2">
      <c r="A126" s="2">
        <v>122</v>
      </c>
      <c r="B126" s="3">
        <v>44977</v>
      </c>
      <c r="C126" s="2" t="s">
        <v>212</v>
      </c>
      <c r="D126" s="4" t="s">
        <v>16</v>
      </c>
      <c r="E126" s="2" t="s">
        <v>48</v>
      </c>
      <c r="F126" s="5" t="s">
        <v>43</v>
      </c>
      <c r="G126" s="5" t="s">
        <v>24</v>
      </c>
      <c r="H126" s="5"/>
      <c r="I126" s="5" t="s">
        <v>32</v>
      </c>
      <c r="J126" s="2"/>
      <c r="K126" s="5">
        <v>2</v>
      </c>
      <c r="L126" s="6"/>
      <c r="M126" s="7"/>
      <c r="N126" s="2"/>
      <c r="O126" s="6"/>
    </row>
    <row r="127" spans="1:15" ht="17" x14ac:dyDescent="0.2">
      <c r="A127" s="2">
        <v>123</v>
      </c>
      <c r="B127" s="3">
        <v>44977</v>
      </c>
      <c r="C127" s="2" t="s">
        <v>213</v>
      </c>
      <c r="D127" s="4" t="s">
        <v>16</v>
      </c>
      <c r="E127" s="2" t="s">
        <v>48</v>
      </c>
      <c r="F127" s="5" t="s">
        <v>45</v>
      </c>
      <c r="G127" s="5" t="s">
        <v>24</v>
      </c>
      <c r="H127" s="5"/>
      <c r="I127" s="5" t="s">
        <v>32</v>
      </c>
      <c r="J127" s="2"/>
      <c r="K127" s="5">
        <v>4</v>
      </c>
      <c r="L127" s="6"/>
      <c r="M127" s="7"/>
      <c r="N127" s="2"/>
      <c r="O127" s="6"/>
    </row>
    <row r="128" spans="1:15" ht="17" x14ac:dyDescent="0.2">
      <c r="A128" s="2">
        <v>124</v>
      </c>
      <c r="B128" s="3">
        <v>44977</v>
      </c>
      <c r="C128" s="2" t="s">
        <v>214</v>
      </c>
      <c r="D128" s="4" t="s">
        <v>34</v>
      </c>
      <c r="E128" s="2" t="s">
        <v>48</v>
      </c>
      <c r="F128" s="5" t="s">
        <v>82</v>
      </c>
      <c r="G128" s="5" t="s">
        <v>24</v>
      </c>
      <c r="H128" s="5"/>
      <c r="I128" s="5" t="s">
        <v>25</v>
      </c>
      <c r="J128" s="2"/>
      <c r="K128" s="5">
        <v>5</v>
      </c>
      <c r="L128" s="6"/>
      <c r="M128" s="7"/>
      <c r="N128" s="2"/>
      <c r="O128" s="6"/>
    </row>
    <row r="129" spans="1:15" ht="17" x14ac:dyDescent="0.2">
      <c r="A129" s="2">
        <v>125</v>
      </c>
      <c r="B129" s="3">
        <v>44978</v>
      </c>
      <c r="C129" s="2" t="s">
        <v>215</v>
      </c>
      <c r="D129" s="4" t="s">
        <v>34</v>
      </c>
      <c r="E129" s="2" t="s">
        <v>48</v>
      </c>
      <c r="F129" s="5" t="s">
        <v>28</v>
      </c>
      <c r="G129" s="5" t="s">
        <v>110</v>
      </c>
      <c r="H129" s="5"/>
      <c r="I129" s="5" t="s">
        <v>25</v>
      </c>
      <c r="J129" s="2"/>
      <c r="K129" s="5">
        <v>5</v>
      </c>
      <c r="L129" s="6"/>
      <c r="M129" s="7"/>
      <c r="N129" s="2"/>
      <c r="O129" s="6"/>
    </row>
    <row r="130" spans="1:15" ht="17" x14ac:dyDescent="0.2">
      <c r="A130" s="2">
        <v>126</v>
      </c>
      <c r="B130" s="3">
        <v>44978</v>
      </c>
      <c r="C130" s="2" t="s">
        <v>216</v>
      </c>
      <c r="D130" s="4" t="s">
        <v>16</v>
      </c>
      <c r="E130" s="2" t="s">
        <v>48</v>
      </c>
      <c r="F130" s="5" t="s">
        <v>30</v>
      </c>
      <c r="G130" s="5" t="s">
        <v>110</v>
      </c>
      <c r="H130" s="5"/>
      <c r="I130" s="5" t="s">
        <v>20</v>
      </c>
      <c r="J130" s="2"/>
      <c r="K130" s="5">
        <v>7</v>
      </c>
      <c r="L130" s="6"/>
      <c r="M130" s="7"/>
      <c r="N130" s="2"/>
      <c r="O130" s="6"/>
    </row>
    <row r="131" spans="1:15" ht="17" x14ac:dyDescent="0.2">
      <c r="A131" s="2">
        <v>127</v>
      </c>
      <c r="B131" s="3">
        <v>44978</v>
      </c>
      <c r="C131" s="2" t="s">
        <v>217</v>
      </c>
      <c r="D131" s="4" t="s">
        <v>16</v>
      </c>
      <c r="E131" s="2" t="s">
        <v>48</v>
      </c>
      <c r="F131" s="5" t="s">
        <v>35</v>
      </c>
      <c r="G131" s="5" t="s">
        <v>19</v>
      </c>
      <c r="H131" s="5"/>
      <c r="I131" s="5" t="s">
        <v>20</v>
      </c>
      <c r="J131" s="2"/>
      <c r="K131" s="5">
        <v>7</v>
      </c>
      <c r="L131" s="6"/>
      <c r="M131" s="7"/>
      <c r="N131" s="2"/>
      <c r="O131" s="6"/>
    </row>
    <row r="132" spans="1:15" ht="17" x14ac:dyDescent="0.2">
      <c r="A132" s="2">
        <v>128</v>
      </c>
      <c r="B132" s="3">
        <v>44978</v>
      </c>
      <c r="C132" s="2" t="s">
        <v>218</v>
      </c>
      <c r="D132" s="4" t="s">
        <v>16</v>
      </c>
      <c r="E132" s="2" t="s">
        <v>48</v>
      </c>
      <c r="F132" s="5" t="s">
        <v>39</v>
      </c>
      <c r="G132" s="5" t="s">
        <v>19</v>
      </c>
      <c r="H132" s="5"/>
      <c r="I132" s="5" t="s">
        <v>20</v>
      </c>
      <c r="J132" s="2"/>
      <c r="K132" s="5">
        <v>7</v>
      </c>
      <c r="L132" s="6"/>
      <c r="M132" s="7"/>
      <c r="N132" s="2"/>
      <c r="O132" s="6"/>
    </row>
    <row r="133" spans="1:15" ht="17" x14ac:dyDescent="0.2">
      <c r="A133" s="2">
        <v>129</v>
      </c>
      <c r="B133" s="3">
        <v>44978</v>
      </c>
      <c r="C133" s="2" t="s">
        <v>219</v>
      </c>
      <c r="D133" s="4" t="s">
        <v>16</v>
      </c>
      <c r="E133" s="2" t="s">
        <v>48</v>
      </c>
      <c r="F133" s="5" t="s">
        <v>43</v>
      </c>
      <c r="G133" s="5" t="s">
        <v>80</v>
      </c>
      <c r="H133" s="5"/>
      <c r="I133" s="5" t="s">
        <v>72</v>
      </c>
      <c r="J133" s="2"/>
      <c r="K133" s="5">
        <v>8</v>
      </c>
      <c r="L133" s="6"/>
      <c r="M133" s="7"/>
      <c r="N133" s="2"/>
      <c r="O133" s="6"/>
    </row>
    <row r="134" spans="1:15" ht="17" x14ac:dyDescent="0.2">
      <c r="A134" s="2">
        <v>130</v>
      </c>
      <c r="B134" s="3">
        <v>44979</v>
      </c>
      <c r="C134" s="2" t="s">
        <v>220</v>
      </c>
      <c r="D134" s="4" t="s">
        <v>34</v>
      </c>
      <c r="E134" s="2" t="s">
        <v>48</v>
      </c>
      <c r="F134" s="5" t="s">
        <v>45</v>
      </c>
      <c r="G134" s="5" t="s">
        <v>61</v>
      </c>
      <c r="H134" s="5"/>
      <c r="I134" s="5" t="s">
        <v>64</v>
      </c>
      <c r="J134" s="2"/>
      <c r="K134" s="5">
        <v>8</v>
      </c>
      <c r="L134" s="6"/>
      <c r="M134" s="7"/>
      <c r="N134" s="2"/>
      <c r="O134" s="6"/>
    </row>
    <row r="135" spans="1:15" ht="17" x14ac:dyDescent="0.2">
      <c r="A135" s="2">
        <v>131</v>
      </c>
      <c r="B135" s="3">
        <v>44979</v>
      </c>
      <c r="C135" s="2" t="s">
        <v>221</v>
      </c>
      <c r="D135" s="4" t="s">
        <v>34</v>
      </c>
      <c r="E135" s="2" t="s">
        <v>48</v>
      </c>
      <c r="F135" s="5" t="s">
        <v>49</v>
      </c>
      <c r="G135" s="5" t="s">
        <v>59</v>
      </c>
      <c r="H135" s="5"/>
      <c r="I135" s="5" t="s">
        <v>186</v>
      </c>
      <c r="J135" s="2"/>
      <c r="K135" s="5">
        <v>9</v>
      </c>
      <c r="L135" s="6"/>
      <c r="M135" s="7"/>
      <c r="N135" s="2"/>
      <c r="O135" s="6"/>
    </row>
    <row r="136" spans="1:15" ht="17" x14ac:dyDescent="0.2">
      <c r="A136" s="2">
        <v>132</v>
      </c>
      <c r="B136" s="3">
        <v>44979</v>
      </c>
      <c r="C136" s="2" t="s">
        <v>222</v>
      </c>
      <c r="D136" s="4" t="s">
        <v>34</v>
      </c>
      <c r="E136" s="2" t="s">
        <v>48</v>
      </c>
      <c r="F136" s="5" t="s">
        <v>51</v>
      </c>
      <c r="G136" s="5" t="s">
        <v>88</v>
      </c>
      <c r="H136" s="5"/>
      <c r="I136" s="5" t="s">
        <v>189</v>
      </c>
      <c r="J136" s="2"/>
      <c r="K136" s="5">
        <v>12</v>
      </c>
      <c r="L136" s="6"/>
      <c r="M136" s="7"/>
      <c r="N136" s="2"/>
      <c r="O136" s="6"/>
    </row>
    <row r="137" spans="1:15" ht="17" x14ac:dyDescent="0.2">
      <c r="A137" s="2">
        <v>133</v>
      </c>
      <c r="B137" s="3">
        <v>44979</v>
      </c>
      <c r="C137" s="2" t="s">
        <v>223</v>
      </c>
      <c r="D137" s="4" t="s">
        <v>34</v>
      </c>
      <c r="E137" s="2" t="s">
        <v>48</v>
      </c>
      <c r="F137" s="5" t="s">
        <v>30</v>
      </c>
      <c r="G137" s="5" t="s">
        <v>56</v>
      </c>
      <c r="H137" s="5"/>
      <c r="I137" s="5" t="s">
        <v>92</v>
      </c>
      <c r="J137" s="2"/>
      <c r="K137" s="5">
        <v>11</v>
      </c>
      <c r="L137" s="6"/>
      <c r="M137" s="7"/>
      <c r="N137" s="2"/>
      <c r="O137" s="6"/>
    </row>
    <row r="138" spans="1:15" ht="17" x14ac:dyDescent="0.2">
      <c r="A138" s="2">
        <v>134</v>
      </c>
      <c r="B138" s="3">
        <v>44980</v>
      </c>
      <c r="C138" s="2" t="s">
        <v>224</v>
      </c>
      <c r="D138" s="4" t="s">
        <v>34</v>
      </c>
      <c r="E138" s="2" t="s">
        <v>48</v>
      </c>
      <c r="F138" s="5" t="s">
        <v>39</v>
      </c>
      <c r="G138" s="5" t="s">
        <v>56</v>
      </c>
      <c r="H138" s="5"/>
      <c r="I138" s="5" t="s">
        <v>92</v>
      </c>
      <c r="J138" s="2"/>
      <c r="K138" s="5">
        <v>11</v>
      </c>
      <c r="L138" s="6"/>
      <c r="M138" s="7"/>
      <c r="N138" s="2"/>
      <c r="O138" s="6"/>
    </row>
    <row r="139" spans="1:15" ht="17" x14ac:dyDescent="0.2">
      <c r="A139" s="2">
        <v>135</v>
      </c>
      <c r="B139" s="3">
        <v>44980</v>
      </c>
      <c r="C139" s="2" t="s">
        <v>225</v>
      </c>
      <c r="D139" s="4" t="s">
        <v>16</v>
      </c>
      <c r="E139" s="2" t="s">
        <v>48</v>
      </c>
      <c r="F139" s="5" t="s">
        <v>66</v>
      </c>
      <c r="G139" s="5" t="s">
        <v>56</v>
      </c>
      <c r="H139" s="5"/>
      <c r="I139" s="5" t="s">
        <v>92</v>
      </c>
      <c r="J139" s="2"/>
      <c r="K139" s="5">
        <v>15</v>
      </c>
      <c r="L139" s="6"/>
      <c r="M139" s="7"/>
      <c r="N139" s="2"/>
      <c r="O139" s="6"/>
    </row>
    <row r="140" spans="1:15" ht="17" x14ac:dyDescent="0.2">
      <c r="A140" s="2">
        <v>136</v>
      </c>
      <c r="B140" s="3">
        <v>44980</v>
      </c>
      <c r="C140" s="2" t="s">
        <v>226</v>
      </c>
      <c r="D140" s="4" t="s">
        <v>16</v>
      </c>
      <c r="E140" s="2" t="s">
        <v>48</v>
      </c>
      <c r="F140" s="5" t="s">
        <v>69</v>
      </c>
      <c r="G140" s="5" t="s">
        <v>52</v>
      </c>
      <c r="H140" s="5"/>
      <c r="I140" s="5" t="s">
        <v>189</v>
      </c>
      <c r="J140" s="2"/>
      <c r="K140" s="5">
        <v>13</v>
      </c>
      <c r="L140" s="6"/>
      <c r="M140" s="7"/>
      <c r="N140" s="2"/>
      <c r="O140" s="6"/>
    </row>
    <row r="141" spans="1:15" ht="17" x14ac:dyDescent="0.2">
      <c r="A141" s="2">
        <v>137</v>
      </c>
      <c r="B141" s="3">
        <v>44980</v>
      </c>
      <c r="C141" s="2" t="s">
        <v>227</v>
      </c>
      <c r="D141" s="4" t="s">
        <v>34</v>
      </c>
      <c r="E141" s="2" t="s">
        <v>48</v>
      </c>
      <c r="F141" s="5" t="s">
        <v>71</v>
      </c>
      <c r="G141" s="5" t="s">
        <v>52</v>
      </c>
      <c r="H141" s="5"/>
      <c r="I141" s="5" t="s">
        <v>189</v>
      </c>
      <c r="J141" s="2"/>
      <c r="K141" s="5">
        <v>2</v>
      </c>
      <c r="L141" s="6"/>
      <c r="M141" s="7"/>
      <c r="N141" s="2"/>
      <c r="O141" s="6"/>
    </row>
    <row r="142" spans="1:15" ht="17" x14ac:dyDescent="0.2">
      <c r="A142" s="2">
        <v>138</v>
      </c>
      <c r="B142" s="3">
        <v>44981</v>
      </c>
      <c r="C142" s="2" t="s">
        <v>228</v>
      </c>
      <c r="D142" s="4" t="s">
        <v>16</v>
      </c>
      <c r="E142" s="2" t="s">
        <v>48</v>
      </c>
      <c r="F142" s="5" t="s">
        <v>74</v>
      </c>
      <c r="G142" s="5" t="s">
        <v>103</v>
      </c>
      <c r="H142" s="5"/>
      <c r="I142" s="5" t="s">
        <v>137</v>
      </c>
      <c r="J142" s="2"/>
      <c r="K142" s="5">
        <v>2</v>
      </c>
      <c r="L142" s="6"/>
      <c r="M142" s="7"/>
      <c r="N142" s="2"/>
      <c r="O142" s="6"/>
    </row>
    <row r="143" spans="1:15" ht="17" x14ac:dyDescent="0.2">
      <c r="A143" s="2">
        <v>139</v>
      </c>
      <c r="B143" s="3">
        <v>44981</v>
      </c>
      <c r="C143" s="2" t="s">
        <v>229</v>
      </c>
      <c r="D143" s="4" t="s">
        <v>16</v>
      </c>
      <c r="E143" s="2" t="s">
        <v>48</v>
      </c>
      <c r="F143" s="5" t="s">
        <v>76</v>
      </c>
      <c r="G143" s="5" t="s">
        <v>103</v>
      </c>
      <c r="H143" s="5"/>
      <c r="I143" s="5" t="s">
        <v>137</v>
      </c>
      <c r="J143" s="2"/>
      <c r="K143" s="5">
        <v>2</v>
      </c>
      <c r="L143" s="6"/>
      <c r="M143" s="7"/>
      <c r="N143" s="2"/>
      <c r="O143" s="6"/>
    </row>
    <row r="144" spans="1:15" ht="17" x14ac:dyDescent="0.2">
      <c r="A144" s="2">
        <v>140</v>
      </c>
      <c r="B144" s="3">
        <v>44981</v>
      </c>
      <c r="C144" s="2" t="s">
        <v>230</v>
      </c>
      <c r="D144" s="4" t="s">
        <v>16</v>
      </c>
      <c r="E144" s="2" t="s">
        <v>48</v>
      </c>
      <c r="F144" s="5" t="s">
        <v>30</v>
      </c>
      <c r="G144" s="5" t="s">
        <v>19</v>
      </c>
      <c r="H144" s="5"/>
      <c r="I144" s="5" t="s">
        <v>32</v>
      </c>
      <c r="J144" s="2"/>
      <c r="K144" s="5">
        <v>3</v>
      </c>
      <c r="L144" s="6"/>
      <c r="M144" s="7"/>
      <c r="N144" s="2"/>
      <c r="O144" s="6"/>
    </row>
    <row r="145" spans="1:15" ht="17" x14ac:dyDescent="0.2">
      <c r="A145" s="2">
        <v>141</v>
      </c>
      <c r="B145" s="3">
        <v>44982</v>
      </c>
      <c r="C145" s="2" t="s">
        <v>231</v>
      </c>
      <c r="D145" s="4" t="s">
        <v>16</v>
      </c>
      <c r="E145" s="2" t="s">
        <v>198</v>
      </c>
      <c r="F145" s="5" t="s">
        <v>82</v>
      </c>
      <c r="G145" s="5" t="s">
        <v>31</v>
      </c>
      <c r="H145" s="5"/>
      <c r="I145" s="5" t="s">
        <v>32</v>
      </c>
      <c r="J145" s="2"/>
      <c r="K145" s="5">
        <v>4</v>
      </c>
      <c r="L145" s="6"/>
      <c r="M145" s="7"/>
      <c r="N145" s="2"/>
      <c r="O145" s="6"/>
    </row>
    <row r="146" spans="1:15" ht="17" x14ac:dyDescent="0.2">
      <c r="A146" s="2">
        <v>142</v>
      </c>
      <c r="B146" s="3">
        <v>44982</v>
      </c>
      <c r="C146" s="2" t="s">
        <v>232</v>
      </c>
      <c r="D146" s="4" t="s">
        <v>34</v>
      </c>
      <c r="E146" s="2" t="s">
        <v>198</v>
      </c>
      <c r="F146" s="5" t="s">
        <v>82</v>
      </c>
      <c r="G146" s="5" t="s">
        <v>36</v>
      </c>
      <c r="H146" s="5"/>
      <c r="I146" s="5" t="s">
        <v>37</v>
      </c>
      <c r="J146" s="2"/>
      <c r="K146" s="5">
        <v>5</v>
      </c>
      <c r="L146" s="6"/>
      <c r="M146" s="7"/>
      <c r="N146" s="2"/>
      <c r="O146" s="6"/>
    </row>
    <row r="147" spans="1:15" ht="17" x14ac:dyDescent="0.2">
      <c r="A147" s="2">
        <v>143</v>
      </c>
      <c r="B147" s="3">
        <v>44982</v>
      </c>
      <c r="C147" s="2" t="s">
        <v>233</v>
      </c>
      <c r="D147" s="4" t="s">
        <v>34</v>
      </c>
      <c r="E147" s="2" t="s">
        <v>198</v>
      </c>
      <c r="F147" s="5" t="s">
        <v>87</v>
      </c>
      <c r="G147" s="5" t="s">
        <v>40</v>
      </c>
      <c r="H147" s="5"/>
      <c r="I147" s="5" t="s">
        <v>106</v>
      </c>
      <c r="J147" s="2"/>
      <c r="K147" s="5">
        <v>7</v>
      </c>
      <c r="L147" s="6"/>
      <c r="M147" s="7"/>
      <c r="N147" s="2"/>
      <c r="O147" s="6"/>
    </row>
    <row r="148" spans="1:15" ht="17" x14ac:dyDescent="0.2">
      <c r="A148" s="2">
        <v>144</v>
      </c>
      <c r="B148" s="3">
        <v>44982</v>
      </c>
      <c r="C148" s="2" t="s">
        <v>234</v>
      </c>
      <c r="D148" s="4" t="s">
        <v>34</v>
      </c>
      <c r="E148" s="2" t="s">
        <v>198</v>
      </c>
      <c r="F148" s="5" t="s">
        <v>45</v>
      </c>
      <c r="G148" s="5" t="s">
        <v>40</v>
      </c>
      <c r="H148" s="5"/>
      <c r="I148" s="5" t="s">
        <v>106</v>
      </c>
      <c r="J148" s="2"/>
      <c r="K148" s="5">
        <v>7</v>
      </c>
      <c r="L148" s="6"/>
      <c r="M148" s="7"/>
      <c r="N148" s="2"/>
      <c r="O148" s="6"/>
    </row>
    <row r="149" spans="1:15" ht="17" x14ac:dyDescent="0.2">
      <c r="A149" s="2">
        <v>145</v>
      </c>
      <c r="B149" s="3">
        <v>44982</v>
      </c>
      <c r="C149" s="2" t="s">
        <v>235</v>
      </c>
      <c r="D149" s="4" t="s">
        <v>34</v>
      </c>
      <c r="E149" s="2" t="s">
        <v>198</v>
      </c>
      <c r="F149" s="5" t="s">
        <v>45</v>
      </c>
      <c r="G149" s="5" t="s">
        <v>46</v>
      </c>
      <c r="H149" s="5"/>
      <c r="I149" s="5" t="s">
        <v>106</v>
      </c>
      <c r="J149" s="2"/>
      <c r="K149" s="5">
        <v>5</v>
      </c>
      <c r="L149" s="6"/>
      <c r="M149" s="7"/>
      <c r="N149" s="2"/>
      <c r="O149" s="6"/>
    </row>
    <row r="150" spans="1:15" ht="17" x14ac:dyDescent="0.2">
      <c r="A150" s="2">
        <v>146</v>
      </c>
      <c r="B150" s="3">
        <v>44983</v>
      </c>
      <c r="C150" s="2" t="s">
        <v>236</v>
      </c>
      <c r="D150" s="4" t="s">
        <v>16</v>
      </c>
      <c r="E150" s="2" t="s">
        <v>198</v>
      </c>
      <c r="F150" s="5" t="s">
        <v>76</v>
      </c>
      <c r="G150" s="5" t="s">
        <v>36</v>
      </c>
      <c r="H150" s="5"/>
      <c r="I150" s="5" t="s">
        <v>37</v>
      </c>
      <c r="J150" s="2"/>
      <c r="K150" s="5">
        <v>4</v>
      </c>
      <c r="L150" s="6"/>
      <c r="M150" s="7"/>
      <c r="N150" s="2"/>
      <c r="O150" s="6"/>
    </row>
    <row r="151" spans="1:15" ht="17" x14ac:dyDescent="0.2">
      <c r="A151" s="2">
        <v>147</v>
      </c>
      <c r="B151" s="3">
        <v>44983</v>
      </c>
      <c r="C151" s="2" t="s">
        <v>237</v>
      </c>
      <c r="D151" s="4" t="s">
        <v>34</v>
      </c>
      <c r="E151" s="2" t="s">
        <v>22</v>
      </c>
      <c r="F151" s="5" t="s">
        <v>55</v>
      </c>
      <c r="G151" s="5" t="s">
        <v>52</v>
      </c>
      <c r="H151" s="5"/>
      <c r="I151" s="5" t="s">
        <v>186</v>
      </c>
      <c r="J151" s="2"/>
      <c r="K151" s="5">
        <v>6</v>
      </c>
      <c r="L151" s="6"/>
      <c r="M151" s="7"/>
      <c r="N151" s="2"/>
      <c r="O151" s="6"/>
    </row>
    <row r="152" spans="1:15" ht="17" x14ac:dyDescent="0.2">
      <c r="A152" s="2">
        <v>148</v>
      </c>
      <c r="B152" s="3">
        <v>44983</v>
      </c>
      <c r="C152" s="2" t="s">
        <v>238</v>
      </c>
      <c r="D152" s="4" t="s">
        <v>34</v>
      </c>
      <c r="E152" s="2" t="s">
        <v>198</v>
      </c>
      <c r="F152" s="5" t="s">
        <v>55</v>
      </c>
      <c r="G152" s="5" t="s">
        <v>56</v>
      </c>
      <c r="H152" s="5"/>
      <c r="I152" s="5" t="s">
        <v>92</v>
      </c>
      <c r="J152" s="2"/>
      <c r="K152" s="5">
        <v>8</v>
      </c>
      <c r="L152" s="6"/>
      <c r="M152" s="7"/>
      <c r="N152" s="2"/>
      <c r="O152" s="6"/>
    </row>
    <row r="153" spans="1:15" ht="17" x14ac:dyDescent="0.2">
      <c r="A153" s="2">
        <v>149</v>
      </c>
      <c r="B153" s="3">
        <v>44983</v>
      </c>
      <c r="C153" s="2" t="s">
        <v>239</v>
      </c>
      <c r="D153" s="4" t="s">
        <v>16</v>
      </c>
      <c r="E153" s="2" t="s">
        <v>198</v>
      </c>
      <c r="F153" s="5" t="s">
        <v>82</v>
      </c>
      <c r="G153" s="5" t="s">
        <v>59</v>
      </c>
      <c r="H153" s="5"/>
      <c r="I153" s="5" t="s">
        <v>189</v>
      </c>
      <c r="J153" s="2"/>
      <c r="K153" s="5">
        <v>8</v>
      </c>
      <c r="L153" s="6"/>
      <c r="M153" s="7"/>
      <c r="N153" s="2"/>
      <c r="O153" s="6"/>
    </row>
    <row r="154" spans="1:15" ht="17" x14ac:dyDescent="0.2">
      <c r="A154" s="2">
        <v>150</v>
      </c>
      <c r="B154" s="3">
        <v>44984</v>
      </c>
      <c r="C154" s="2" t="s">
        <v>240</v>
      </c>
      <c r="D154" s="4" t="s">
        <v>34</v>
      </c>
      <c r="E154" s="2" t="s">
        <v>22</v>
      </c>
      <c r="F154" s="5" t="s">
        <v>76</v>
      </c>
      <c r="G154" s="5" t="s">
        <v>31</v>
      </c>
      <c r="H154" s="5"/>
      <c r="I154" s="5" t="s">
        <v>32</v>
      </c>
      <c r="J154" s="2"/>
      <c r="K154" s="5">
        <v>9</v>
      </c>
      <c r="L154" s="6"/>
      <c r="M154" s="7"/>
      <c r="N154" s="2"/>
      <c r="O154" s="6"/>
    </row>
    <row r="155" spans="1:15" ht="17" x14ac:dyDescent="0.2">
      <c r="A155" s="2">
        <v>151</v>
      </c>
      <c r="B155" s="3">
        <v>44984</v>
      </c>
      <c r="C155" s="2" t="s">
        <v>241</v>
      </c>
      <c r="D155" s="4" t="s">
        <v>16</v>
      </c>
      <c r="E155" s="2" t="s">
        <v>22</v>
      </c>
      <c r="F155" s="5" t="s">
        <v>45</v>
      </c>
      <c r="G155" s="5" t="s">
        <v>59</v>
      </c>
      <c r="H155" s="5"/>
      <c r="I155" s="5" t="s">
        <v>189</v>
      </c>
      <c r="J155" s="2"/>
      <c r="K155" s="5">
        <v>11</v>
      </c>
      <c r="L155" s="6"/>
      <c r="M155" s="7"/>
      <c r="N155" s="2"/>
      <c r="O155" s="6"/>
    </row>
    <row r="156" spans="1:15" ht="17" x14ac:dyDescent="0.2">
      <c r="A156" s="2">
        <v>152</v>
      </c>
      <c r="B156" s="3">
        <v>44984</v>
      </c>
      <c r="C156" s="2" t="s">
        <v>242</v>
      </c>
      <c r="D156" s="4" t="s">
        <v>16</v>
      </c>
      <c r="E156" s="2" t="s">
        <v>22</v>
      </c>
      <c r="F156" s="5" t="s">
        <v>45</v>
      </c>
      <c r="G156" s="5" t="s">
        <v>52</v>
      </c>
      <c r="H156" s="5"/>
      <c r="I156" s="5" t="s">
        <v>92</v>
      </c>
      <c r="J156" s="2"/>
      <c r="K156" s="5">
        <v>10</v>
      </c>
      <c r="L156" s="6"/>
      <c r="M156" s="7"/>
      <c r="N156" s="2"/>
      <c r="O156" s="6"/>
    </row>
    <row r="157" spans="1:15" ht="17" x14ac:dyDescent="0.2">
      <c r="A157" s="2">
        <v>153</v>
      </c>
      <c r="B157" s="3">
        <v>44984</v>
      </c>
      <c r="C157" s="2" t="s">
        <v>243</v>
      </c>
      <c r="D157" s="4" t="s">
        <v>16</v>
      </c>
      <c r="E157" s="2" t="s">
        <v>198</v>
      </c>
      <c r="F157" s="5" t="s">
        <v>82</v>
      </c>
      <c r="G157" s="5" t="s">
        <v>59</v>
      </c>
      <c r="H157" s="5"/>
      <c r="I157" s="5" t="s">
        <v>189</v>
      </c>
      <c r="J157" s="2"/>
      <c r="K157" s="5">
        <v>9</v>
      </c>
      <c r="L157" s="6"/>
      <c r="M157" s="7"/>
      <c r="N157" s="2"/>
      <c r="O157" s="6"/>
    </row>
    <row r="158" spans="1:15" ht="17" x14ac:dyDescent="0.2">
      <c r="A158" s="2">
        <v>154</v>
      </c>
      <c r="B158" s="3">
        <v>44985</v>
      </c>
      <c r="C158" s="2" t="s">
        <v>244</v>
      </c>
      <c r="D158" s="4" t="s">
        <v>16</v>
      </c>
      <c r="E158" s="2" t="s">
        <v>198</v>
      </c>
      <c r="F158" s="5" t="s">
        <v>82</v>
      </c>
      <c r="G158" s="5" t="s">
        <v>67</v>
      </c>
      <c r="H158" s="5"/>
      <c r="I158" s="5" t="s">
        <v>62</v>
      </c>
      <c r="J158" s="2"/>
      <c r="K158" s="5">
        <v>5</v>
      </c>
      <c r="L158" s="6"/>
      <c r="M158" s="7"/>
      <c r="N158" s="2"/>
      <c r="O158" s="6"/>
    </row>
    <row r="159" spans="1:15" ht="17" x14ac:dyDescent="0.2">
      <c r="A159" s="2">
        <v>155</v>
      </c>
      <c r="B159" s="3">
        <v>44985</v>
      </c>
      <c r="C159" s="2" t="s">
        <v>245</v>
      </c>
      <c r="D159" s="4" t="s">
        <v>16</v>
      </c>
      <c r="E159" s="2" t="s">
        <v>198</v>
      </c>
      <c r="F159" s="5" t="s">
        <v>76</v>
      </c>
      <c r="G159" s="5" t="s">
        <v>67</v>
      </c>
      <c r="H159" s="5"/>
      <c r="I159" s="5" t="s">
        <v>64</v>
      </c>
      <c r="J159" s="2"/>
      <c r="K159" s="5">
        <v>5</v>
      </c>
      <c r="L159" s="6"/>
      <c r="M159" s="7"/>
      <c r="N159" s="2"/>
      <c r="O159" s="6"/>
    </row>
    <row r="160" spans="1:15" ht="17" x14ac:dyDescent="0.2">
      <c r="A160" s="2">
        <v>156</v>
      </c>
      <c r="B160" s="3">
        <v>44985</v>
      </c>
      <c r="C160" s="2" t="s">
        <v>246</v>
      </c>
      <c r="D160" s="4" t="s">
        <v>34</v>
      </c>
      <c r="E160" s="2" t="s">
        <v>198</v>
      </c>
      <c r="F160" s="5" t="s">
        <v>76</v>
      </c>
      <c r="G160" s="5" t="s">
        <v>59</v>
      </c>
      <c r="H160" s="5"/>
      <c r="I160" s="5" t="s">
        <v>92</v>
      </c>
      <c r="J160" s="2"/>
      <c r="K160" s="5">
        <v>3</v>
      </c>
      <c r="L160" s="6"/>
      <c r="M160" s="7"/>
      <c r="N160" s="2"/>
      <c r="O160" s="6"/>
    </row>
    <row r="161" spans="1:15" ht="17" x14ac:dyDescent="0.2">
      <c r="A161" s="2">
        <v>157</v>
      </c>
      <c r="B161" s="3">
        <v>44985</v>
      </c>
      <c r="C161" s="2" t="s">
        <v>247</v>
      </c>
      <c r="D161" s="4" t="s">
        <v>16</v>
      </c>
      <c r="E161" s="2" t="s">
        <v>22</v>
      </c>
      <c r="F161" s="5" t="s">
        <v>82</v>
      </c>
      <c r="G161" s="5" t="s">
        <v>31</v>
      </c>
      <c r="H161" s="5"/>
      <c r="I161" s="5" t="s">
        <v>32</v>
      </c>
      <c r="J161" s="2"/>
      <c r="K161" s="5">
        <v>2</v>
      </c>
      <c r="L161" s="6"/>
      <c r="M161" s="7"/>
      <c r="N161" s="2"/>
      <c r="O161" s="6"/>
    </row>
    <row r="162" spans="1:15" ht="17" x14ac:dyDescent="0.2">
      <c r="A162" s="2">
        <v>158</v>
      </c>
      <c r="B162" s="3">
        <v>44985</v>
      </c>
      <c r="C162" s="2" t="s">
        <v>248</v>
      </c>
      <c r="D162" s="4" t="s">
        <v>16</v>
      </c>
      <c r="E162" s="2" t="s">
        <v>22</v>
      </c>
      <c r="F162" s="5" t="s">
        <v>82</v>
      </c>
      <c r="G162" s="5" t="s">
        <v>67</v>
      </c>
      <c r="H162" s="5"/>
      <c r="I162" s="5" t="s">
        <v>62</v>
      </c>
      <c r="J162" s="2"/>
      <c r="K162" s="5">
        <v>2</v>
      </c>
      <c r="L162" s="6"/>
      <c r="M162" s="7"/>
      <c r="N162" s="2"/>
      <c r="O162" s="6"/>
    </row>
    <row r="163" spans="1:15" ht="17" x14ac:dyDescent="0.2">
      <c r="A163" s="2">
        <v>159</v>
      </c>
      <c r="B163" s="3">
        <v>44985</v>
      </c>
      <c r="C163" s="2" t="s">
        <v>249</v>
      </c>
      <c r="D163" s="4" t="s">
        <v>34</v>
      </c>
      <c r="E163" s="2" t="s">
        <v>198</v>
      </c>
      <c r="F163" s="5" t="s">
        <v>82</v>
      </c>
      <c r="G163" s="5" t="s">
        <v>31</v>
      </c>
      <c r="H163" s="5"/>
      <c r="I163" s="5" t="s">
        <v>25</v>
      </c>
      <c r="J163" s="2"/>
      <c r="K163" s="5">
        <v>2</v>
      </c>
      <c r="L163" s="6"/>
      <c r="M163" s="7"/>
      <c r="N163" s="2"/>
      <c r="O163" s="6"/>
    </row>
    <row r="164" spans="1:15" ht="17" x14ac:dyDescent="0.2">
      <c r="A164" s="2">
        <v>160</v>
      </c>
      <c r="B164" s="3">
        <v>44986</v>
      </c>
      <c r="C164" s="2" t="s">
        <v>250</v>
      </c>
      <c r="D164" s="4" t="s">
        <v>34</v>
      </c>
      <c r="E164" s="2" t="s">
        <v>22</v>
      </c>
      <c r="F164" s="5" t="s">
        <v>76</v>
      </c>
      <c r="G164" s="5" t="s">
        <v>31</v>
      </c>
      <c r="H164" s="5"/>
      <c r="I164" s="5" t="s">
        <v>32</v>
      </c>
      <c r="J164" s="2"/>
      <c r="K164" s="5">
        <v>4</v>
      </c>
      <c r="L164" s="6"/>
      <c r="M164" s="7"/>
      <c r="N164" s="2"/>
      <c r="O164" s="6"/>
    </row>
    <row r="165" spans="1:15" ht="17" x14ac:dyDescent="0.2">
      <c r="A165" s="2">
        <v>161</v>
      </c>
      <c r="B165" s="3">
        <v>44986</v>
      </c>
      <c r="C165" s="2" t="s">
        <v>251</v>
      </c>
      <c r="D165" s="4" t="s">
        <v>16</v>
      </c>
      <c r="E165" s="2" t="s">
        <v>198</v>
      </c>
      <c r="F165" s="5" t="s">
        <v>76</v>
      </c>
      <c r="G165" s="5" t="s">
        <v>31</v>
      </c>
      <c r="H165" s="5"/>
      <c r="I165" s="5" t="s">
        <v>32</v>
      </c>
      <c r="J165" s="2"/>
      <c r="K165" s="5">
        <v>5</v>
      </c>
      <c r="L165" s="6"/>
      <c r="M165" s="7"/>
      <c r="N165" s="2"/>
      <c r="O165" s="6"/>
    </row>
    <row r="166" spans="1:15" ht="17" x14ac:dyDescent="0.2">
      <c r="A166" s="2">
        <v>162</v>
      </c>
      <c r="B166" s="3">
        <v>44986</v>
      </c>
      <c r="C166" s="2" t="s">
        <v>252</v>
      </c>
      <c r="D166" s="4" t="s">
        <v>34</v>
      </c>
      <c r="E166" s="2" t="s">
        <v>198</v>
      </c>
      <c r="F166" s="5" t="s">
        <v>55</v>
      </c>
      <c r="G166" s="5" t="s">
        <v>59</v>
      </c>
      <c r="H166" s="5"/>
      <c r="I166" s="5" t="s">
        <v>189</v>
      </c>
      <c r="J166" s="2"/>
      <c r="K166" s="5">
        <v>5</v>
      </c>
      <c r="L166" s="6"/>
      <c r="M166" s="7"/>
      <c r="N166" s="2"/>
      <c r="O166" s="6"/>
    </row>
    <row r="167" spans="1:15" ht="17" x14ac:dyDescent="0.2">
      <c r="A167" s="2">
        <v>163</v>
      </c>
      <c r="B167" s="3">
        <v>44986</v>
      </c>
      <c r="C167" s="2" t="s">
        <v>253</v>
      </c>
      <c r="D167" s="4" t="s">
        <v>16</v>
      </c>
      <c r="E167" s="2" t="s">
        <v>198</v>
      </c>
      <c r="F167" s="5" t="s">
        <v>45</v>
      </c>
      <c r="G167" s="5" t="s">
        <v>59</v>
      </c>
      <c r="H167" s="5"/>
      <c r="I167" s="5" t="s">
        <v>189</v>
      </c>
      <c r="J167" s="2"/>
      <c r="K167" s="5">
        <v>7</v>
      </c>
      <c r="L167" s="6"/>
      <c r="M167" s="7"/>
      <c r="N167" s="2"/>
      <c r="O167" s="6"/>
    </row>
    <row r="168" spans="1:15" ht="17" x14ac:dyDescent="0.2">
      <c r="A168" s="2">
        <v>164</v>
      </c>
      <c r="B168" s="3">
        <v>44986</v>
      </c>
      <c r="C168" s="2" t="s">
        <v>254</v>
      </c>
      <c r="D168" s="4" t="s">
        <v>34</v>
      </c>
      <c r="E168" s="2" t="s">
        <v>198</v>
      </c>
      <c r="F168" s="5" t="s">
        <v>76</v>
      </c>
      <c r="G168" s="5" t="s">
        <v>59</v>
      </c>
      <c r="H168" s="5"/>
      <c r="I168" s="5" t="s">
        <v>92</v>
      </c>
      <c r="J168" s="2"/>
      <c r="K168" s="5">
        <v>7</v>
      </c>
      <c r="L168" s="6"/>
      <c r="M168" s="7"/>
      <c r="N168" s="2"/>
      <c r="O168" s="6"/>
    </row>
    <row r="169" spans="1:15" ht="17" x14ac:dyDescent="0.2">
      <c r="A169" s="2">
        <v>165</v>
      </c>
      <c r="B169" s="3">
        <v>44987</v>
      </c>
      <c r="C169" s="2" t="s">
        <v>255</v>
      </c>
      <c r="D169" s="4" t="s">
        <v>34</v>
      </c>
      <c r="E169" s="2" t="s">
        <v>198</v>
      </c>
      <c r="F169" s="5" t="s">
        <v>55</v>
      </c>
      <c r="G169" s="5" t="s">
        <v>36</v>
      </c>
      <c r="H169" s="5"/>
      <c r="I169" s="5" t="s">
        <v>37</v>
      </c>
      <c r="J169" s="2"/>
      <c r="K169" s="5">
        <v>7</v>
      </c>
      <c r="L169" s="6"/>
      <c r="M169" s="7"/>
      <c r="N169" s="2"/>
      <c r="O169" s="6"/>
    </row>
    <row r="170" spans="1:15" ht="17" x14ac:dyDescent="0.2">
      <c r="A170" s="2">
        <v>166</v>
      </c>
      <c r="B170" s="3">
        <v>44987</v>
      </c>
      <c r="C170" s="2" t="s">
        <v>256</v>
      </c>
      <c r="D170" s="4" t="s">
        <v>16</v>
      </c>
      <c r="E170" s="2" t="s">
        <v>198</v>
      </c>
      <c r="F170" s="5" t="s">
        <v>45</v>
      </c>
      <c r="G170" s="5" t="s">
        <v>40</v>
      </c>
      <c r="H170" s="5"/>
      <c r="I170" s="5" t="s">
        <v>37</v>
      </c>
      <c r="J170" s="2"/>
      <c r="K170" s="5">
        <v>8</v>
      </c>
      <c r="L170" s="6"/>
      <c r="M170" s="7"/>
      <c r="N170" s="2"/>
      <c r="O170" s="6"/>
    </row>
    <row r="171" spans="1:15" ht="17" x14ac:dyDescent="0.2">
      <c r="A171" s="2">
        <v>167</v>
      </c>
      <c r="B171" s="3">
        <v>44987</v>
      </c>
      <c r="C171" s="2" t="s">
        <v>257</v>
      </c>
      <c r="D171" s="4" t="s">
        <v>34</v>
      </c>
      <c r="E171" s="2" t="s">
        <v>198</v>
      </c>
      <c r="F171" s="5" t="s">
        <v>82</v>
      </c>
      <c r="G171" s="5" t="s">
        <v>67</v>
      </c>
      <c r="H171" s="5"/>
      <c r="I171" s="5" t="s">
        <v>62</v>
      </c>
      <c r="J171" s="2"/>
      <c r="K171" s="5">
        <v>5</v>
      </c>
      <c r="L171" s="6"/>
      <c r="M171" s="7"/>
      <c r="N171" s="2"/>
      <c r="O171" s="6"/>
    </row>
    <row r="172" spans="1:15" ht="17" x14ac:dyDescent="0.2">
      <c r="A172" s="2">
        <v>168</v>
      </c>
      <c r="B172" s="3">
        <v>44987</v>
      </c>
      <c r="C172" s="2" t="s">
        <v>258</v>
      </c>
      <c r="D172" s="4" t="s">
        <v>16</v>
      </c>
      <c r="E172" s="2" t="s">
        <v>22</v>
      </c>
      <c r="F172" s="5" t="s">
        <v>82</v>
      </c>
      <c r="G172" s="5" t="s">
        <v>36</v>
      </c>
      <c r="H172" s="5"/>
      <c r="I172" s="5" t="s">
        <v>137</v>
      </c>
      <c r="J172" s="2"/>
      <c r="K172" s="5">
        <v>4</v>
      </c>
      <c r="L172" s="6"/>
      <c r="M172" s="7"/>
      <c r="N172" s="2"/>
      <c r="O172" s="6"/>
    </row>
    <row r="173" spans="1:15" ht="17" x14ac:dyDescent="0.2">
      <c r="A173" s="2">
        <v>169</v>
      </c>
      <c r="B173" s="3">
        <v>44987</v>
      </c>
      <c r="C173" s="2" t="s">
        <v>259</v>
      </c>
      <c r="D173" s="4" t="s">
        <v>16</v>
      </c>
      <c r="E173" s="2" t="s">
        <v>22</v>
      </c>
      <c r="F173" s="5" t="s">
        <v>82</v>
      </c>
      <c r="G173" s="5" t="s">
        <v>56</v>
      </c>
      <c r="H173" s="5"/>
      <c r="I173" s="5" t="s">
        <v>92</v>
      </c>
      <c r="J173" s="2"/>
      <c r="K173" s="5">
        <v>6</v>
      </c>
      <c r="L173" s="6"/>
      <c r="M173" s="7"/>
      <c r="N173" s="2"/>
      <c r="O173" s="6"/>
    </row>
    <row r="174" spans="1:15" ht="17" x14ac:dyDescent="0.2">
      <c r="A174" s="2">
        <v>170</v>
      </c>
      <c r="B174" s="3">
        <v>44987</v>
      </c>
      <c r="C174" s="2" t="s">
        <v>260</v>
      </c>
      <c r="D174" s="4" t="s">
        <v>16</v>
      </c>
      <c r="E174" s="2" t="s">
        <v>22</v>
      </c>
      <c r="F174" s="5" t="s">
        <v>45</v>
      </c>
      <c r="G174" s="5" t="s">
        <v>52</v>
      </c>
      <c r="H174" s="5"/>
      <c r="I174" s="5" t="s">
        <v>189</v>
      </c>
      <c r="J174" s="2"/>
      <c r="K174" s="5">
        <v>8</v>
      </c>
      <c r="L174" s="6"/>
      <c r="M174" s="7"/>
      <c r="N174" s="2"/>
      <c r="O174" s="6"/>
    </row>
    <row r="175" spans="1:15" ht="17" x14ac:dyDescent="0.2">
      <c r="A175" s="2">
        <v>171</v>
      </c>
      <c r="B175" s="3">
        <v>44988</v>
      </c>
      <c r="C175" s="2" t="s">
        <v>261</v>
      </c>
      <c r="D175" s="4" t="s">
        <v>16</v>
      </c>
      <c r="E175" s="2" t="s">
        <v>22</v>
      </c>
      <c r="F175" s="5" t="s">
        <v>45</v>
      </c>
      <c r="G175" s="5" t="s">
        <v>52</v>
      </c>
      <c r="H175" s="5"/>
      <c r="I175" s="5" t="s">
        <v>186</v>
      </c>
      <c r="J175" s="2"/>
      <c r="K175" s="5">
        <v>8</v>
      </c>
      <c r="L175" s="6"/>
      <c r="M175" s="7"/>
      <c r="N175" s="2"/>
      <c r="O175" s="6"/>
    </row>
    <row r="176" spans="1:15" ht="17" x14ac:dyDescent="0.2">
      <c r="A176" s="2">
        <v>172</v>
      </c>
      <c r="B176" s="3">
        <v>44988</v>
      </c>
      <c r="C176" s="2" t="s">
        <v>262</v>
      </c>
      <c r="D176" s="4" t="s">
        <v>16</v>
      </c>
      <c r="E176" s="2" t="s">
        <v>22</v>
      </c>
      <c r="F176" s="5" t="s">
        <v>45</v>
      </c>
      <c r="G176" s="5" t="s">
        <v>103</v>
      </c>
      <c r="H176" s="5"/>
      <c r="I176" s="5" t="s">
        <v>37</v>
      </c>
      <c r="J176" s="2"/>
      <c r="K176" s="5">
        <v>9</v>
      </c>
      <c r="L176" s="6"/>
      <c r="M176" s="7"/>
      <c r="N176" s="2"/>
      <c r="O176" s="6"/>
    </row>
    <row r="177" spans="1:15" ht="17" x14ac:dyDescent="0.2">
      <c r="A177" s="2">
        <v>173</v>
      </c>
      <c r="B177" s="3">
        <v>44988</v>
      </c>
      <c r="C177" s="2" t="s">
        <v>263</v>
      </c>
      <c r="D177" s="4" t="s">
        <v>34</v>
      </c>
      <c r="E177" s="2" t="s">
        <v>17</v>
      </c>
      <c r="F177" s="5" t="s">
        <v>76</v>
      </c>
      <c r="G177" s="5" t="s">
        <v>103</v>
      </c>
      <c r="H177" s="5"/>
      <c r="I177" s="5" t="s">
        <v>37</v>
      </c>
      <c r="J177" s="2"/>
      <c r="K177" s="5">
        <v>11</v>
      </c>
      <c r="L177" s="6"/>
      <c r="M177" s="7"/>
      <c r="N177" s="2"/>
      <c r="O177" s="6"/>
    </row>
    <row r="178" spans="1:15" ht="17" x14ac:dyDescent="0.2">
      <c r="A178" s="2">
        <v>174</v>
      </c>
      <c r="B178" s="3">
        <v>44989</v>
      </c>
      <c r="C178" s="2" t="s">
        <v>264</v>
      </c>
      <c r="D178" s="4" t="s">
        <v>34</v>
      </c>
      <c r="E178" s="2" t="s">
        <v>17</v>
      </c>
      <c r="F178" s="5" t="s">
        <v>30</v>
      </c>
      <c r="G178" s="5" t="s">
        <v>19</v>
      </c>
      <c r="H178" s="5"/>
      <c r="I178" s="5" t="s">
        <v>32</v>
      </c>
      <c r="J178" s="2"/>
      <c r="K178" s="5">
        <v>10</v>
      </c>
      <c r="L178" s="6"/>
      <c r="M178" s="7"/>
      <c r="N178" s="2"/>
      <c r="O178" s="6"/>
    </row>
    <row r="179" spans="1:15" ht="17" x14ac:dyDescent="0.2">
      <c r="A179" s="2">
        <v>175</v>
      </c>
      <c r="B179" s="3">
        <v>44989</v>
      </c>
      <c r="C179" s="2" t="s">
        <v>265</v>
      </c>
      <c r="D179" s="4" t="s">
        <v>16</v>
      </c>
      <c r="E179" s="2" t="s">
        <v>17</v>
      </c>
      <c r="F179" s="5" t="s">
        <v>39</v>
      </c>
      <c r="G179" s="5" t="s">
        <v>31</v>
      </c>
      <c r="H179" s="5"/>
      <c r="I179" s="5" t="s">
        <v>32</v>
      </c>
      <c r="J179" s="2"/>
      <c r="K179" s="5">
        <v>9</v>
      </c>
      <c r="L179" s="6"/>
      <c r="M179" s="7"/>
      <c r="N179" s="2"/>
      <c r="O179" s="6"/>
    </row>
    <row r="180" spans="1:15" ht="17" x14ac:dyDescent="0.2">
      <c r="A180" s="2">
        <v>176</v>
      </c>
      <c r="B180" s="3">
        <v>44989</v>
      </c>
      <c r="C180" s="2" t="s">
        <v>266</v>
      </c>
      <c r="D180" s="4" t="s">
        <v>16</v>
      </c>
      <c r="E180" s="2" t="s">
        <v>198</v>
      </c>
      <c r="F180" s="5" t="s">
        <v>66</v>
      </c>
      <c r="G180" s="5" t="s">
        <v>36</v>
      </c>
      <c r="H180" s="5"/>
      <c r="I180" s="5" t="s">
        <v>41</v>
      </c>
      <c r="J180" s="2"/>
      <c r="K180" s="5">
        <v>5</v>
      </c>
      <c r="L180" s="6"/>
      <c r="M180" s="7"/>
      <c r="N180" s="2"/>
      <c r="O180" s="6"/>
    </row>
    <row r="181" spans="1:15" ht="17" x14ac:dyDescent="0.2">
      <c r="A181" s="2">
        <v>177</v>
      </c>
      <c r="B181" s="3">
        <v>44989</v>
      </c>
      <c r="C181" s="2" t="s">
        <v>267</v>
      </c>
      <c r="D181" s="4" t="s">
        <v>16</v>
      </c>
      <c r="E181" s="2" t="s">
        <v>17</v>
      </c>
      <c r="F181" s="5" t="s">
        <v>69</v>
      </c>
      <c r="G181" s="5" t="s">
        <v>40</v>
      </c>
      <c r="H181" s="5"/>
      <c r="I181" s="5" t="s">
        <v>104</v>
      </c>
      <c r="J181" s="2"/>
      <c r="K181" s="5">
        <v>7</v>
      </c>
      <c r="L181" s="6"/>
      <c r="M181" s="7"/>
      <c r="N181" s="2"/>
      <c r="O181" s="6"/>
    </row>
    <row r="182" spans="1:15" ht="17" x14ac:dyDescent="0.2">
      <c r="A182" s="2">
        <v>178</v>
      </c>
      <c r="B182" s="3">
        <v>44990</v>
      </c>
      <c r="C182" s="2" t="s">
        <v>268</v>
      </c>
      <c r="D182" s="4" t="s">
        <v>34</v>
      </c>
      <c r="E182" s="2" t="s">
        <v>198</v>
      </c>
      <c r="F182" s="5" t="s">
        <v>76</v>
      </c>
      <c r="G182" s="5" t="s">
        <v>40</v>
      </c>
      <c r="H182" s="5"/>
      <c r="I182" s="5" t="s">
        <v>104</v>
      </c>
      <c r="J182" s="2"/>
      <c r="K182" s="5">
        <v>7</v>
      </c>
      <c r="L182" s="6"/>
      <c r="M182" s="7"/>
      <c r="N182" s="2"/>
      <c r="O182" s="6"/>
    </row>
    <row r="183" spans="1:15" ht="17" x14ac:dyDescent="0.2">
      <c r="A183" s="2">
        <v>179</v>
      </c>
      <c r="B183" s="3">
        <v>44990</v>
      </c>
      <c r="C183" s="2" t="s">
        <v>269</v>
      </c>
      <c r="D183" s="4" t="s">
        <v>16</v>
      </c>
      <c r="E183" s="2" t="s">
        <v>198</v>
      </c>
      <c r="F183" s="5" t="s">
        <v>45</v>
      </c>
      <c r="G183" s="5" t="s">
        <v>46</v>
      </c>
      <c r="H183" s="5"/>
      <c r="I183" s="5" t="s">
        <v>104</v>
      </c>
      <c r="J183" s="2"/>
      <c r="K183" s="5">
        <v>7</v>
      </c>
      <c r="L183" s="6"/>
      <c r="M183" s="7"/>
      <c r="N183" s="2"/>
      <c r="O183" s="6"/>
    </row>
    <row r="184" spans="1:15" ht="17" x14ac:dyDescent="0.2">
      <c r="A184" s="2">
        <v>180</v>
      </c>
      <c r="B184" s="3">
        <v>44990</v>
      </c>
      <c r="C184" s="2" t="s">
        <v>270</v>
      </c>
      <c r="D184" s="4" t="s">
        <v>16</v>
      </c>
      <c r="E184" s="2" t="s">
        <v>198</v>
      </c>
      <c r="F184" s="5" t="s">
        <v>45</v>
      </c>
      <c r="G184" s="5" t="s">
        <v>36</v>
      </c>
      <c r="H184" s="5"/>
      <c r="I184" s="5" t="s">
        <v>41</v>
      </c>
      <c r="J184" s="2"/>
      <c r="K184" s="5">
        <v>8</v>
      </c>
      <c r="L184" s="6"/>
      <c r="M184" s="7"/>
      <c r="N184" s="2"/>
      <c r="O184" s="6"/>
    </row>
    <row r="185" spans="1:15" x14ac:dyDescent="0.2">
      <c r="A185" s="1"/>
      <c r="B185" s="1"/>
      <c r="C185" s="1"/>
      <c r="D185" s="1"/>
      <c r="E185" s="1"/>
      <c r="F185" s="9"/>
      <c r="G185" s="9"/>
      <c r="H185" s="1"/>
      <c r="I185" s="1"/>
      <c r="J185" s="13" t="s">
        <v>272</v>
      </c>
      <c r="K185" s="5">
        <f>SUM(K5:K184)</f>
        <v>1100</v>
      </c>
      <c r="L185" s="10"/>
      <c r="M185" s="1"/>
      <c r="N185" s="13" t="s">
        <v>14</v>
      </c>
      <c r="O185" s="6"/>
    </row>
    <row r="186" spans="1:15" x14ac:dyDescent="0.2">
      <c r="A186" s="1"/>
      <c r="B186" s="1"/>
      <c r="C186" s="1"/>
      <c r="D186" s="1"/>
      <c r="E186" s="1"/>
      <c r="F186" s="9"/>
      <c r="G186" s="9"/>
      <c r="H186" s="1"/>
      <c r="I186" s="1"/>
      <c r="J186" s="1"/>
      <c r="K186" s="9"/>
      <c r="L186" s="10"/>
      <c r="M186" s="1"/>
      <c r="N186" s="13" t="s">
        <v>271</v>
      </c>
      <c r="O186" s="6"/>
    </row>
  </sheetData>
  <mergeCells count="1">
    <mergeCell ref="B3:M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324E6-6E6E-0945-8739-1C018D5A8D29}">
  <dimension ref="A1:Z186"/>
  <sheetViews>
    <sheetView topLeftCell="C9" zoomScale="75" zoomScaleNormal="91" workbookViewId="0">
      <selection activeCell="I41" sqref="I41"/>
    </sheetView>
  </sheetViews>
  <sheetFormatPr baseColWidth="10" defaultRowHeight="16" x14ac:dyDescent="0.2"/>
  <cols>
    <col min="2" max="2" width="25.1640625" customWidth="1"/>
    <col min="3" max="3" width="38" customWidth="1"/>
    <col min="5" max="5" width="22.33203125" customWidth="1"/>
    <col min="6" max="6" width="27.6640625" customWidth="1"/>
    <col min="7" max="7" width="23.33203125" customWidth="1"/>
    <col min="8" max="8" width="25.6640625" customWidth="1"/>
    <col min="9" max="9" width="35.83203125" customWidth="1"/>
    <col min="10" max="10" width="32.6640625" customWidth="1"/>
    <col min="11" max="11" width="24.1640625" customWidth="1"/>
    <col min="12" max="12" width="30" customWidth="1"/>
    <col min="13" max="13" width="20.1640625" customWidth="1"/>
    <col min="14" max="14" width="28.5" customWidth="1"/>
    <col min="15" max="15" width="32.83203125" customWidth="1"/>
    <col min="17" max="17" width="17.33203125" customWidth="1"/>
    <col min="18" max="18" width="28.83203125" customWidth="1"/>
    <col min="20" max="20" width="28.6640625" customWidth="1"/>
    <col min="21" max="21" width="27.33203125" customWidth="1"/>
    <col min="22" max="22" width="35.83203125" customWidth="1"/>
    <col min="23" max="23" width="24" customWidth="1"/>
    <col min="25" max="25" width="37" customWidth="1"/>
    <col min="26" max="26" width="26" customWidth="1"/>
    <col min="27" max="27" width="35.1640625" customWidth="1"/>
  </cols>
  <sheetData>
    <row r="1" spans="1:26" ht="20" customHeight="1" x14ac:dyDescent="0.2">
      <c r="G1" s="129" t="s">
        <v>0</v>
      </c>
      <c r="H1" s="130"/>
      <c r="I1" s="130"/>
      <c r="J1" s="130"/>
      <c r="K1" s="130"/>
      <c r="L1" s="130"/>
      <c r="M1" s="130"/>
    </row>
    <row r="2" spans="1:26" ht="17" customHeight="1" x14ac:dyDescent="0.2">
      <c r="A2" s="18"/>
      <c r="B2" s="46"/>
      <c r="C2" s="46"/>
      <c r="D2" s="46"/>
      <c r="E2" s="46"/>
      <c r="F2" s="46"/>
      <c r="G2" s="46"/>
      <c r="H2" s="46"/>
      <c r="I2" s="46"/>
      <c r="J2" s="46"/>
      <c r="K2" s="46"/>
      <c r="L2" s="46"/>
      <c r="M2" s="46"/>
      <c r="N2" s="18"/>
      <c r="O2" s="18"/>
    </row>
    <row r="3" spans="1:26" ht="17" x14ac:dyDescent="0.2">
      <c r="A3" s="19" t="s">
        <v>273</v>
      </c>
      <c r="B3" s="20" t="s">
        <v>1</v>
      </c>
      <c r="C3" s="20" t="s">
        <v>2</v>
      </c>
      <c r="D3" s="20" t="s">
        <v>3</v>
      </c>
      <c r="E3" s="20" t="s">
        <v>4</v>
      </c>
      <c r="F3" s="20" t="s">
        <v>5</v>
      </c>
      <c r="G3" s="20" t="s">
        <v>6</v>
      </c>
      <c r="H3" s="20" t="s">
        <v>7</v>
      </c>
      <c r="I3" s="20" t="s">
        <v>8</v>
      </c>
      <c r="J3" s="20" t="s">
        <v>9</v>
      </c>
      <c r="K3" s="20" t="s">
        <v>10</v>
      </c>
      <c r="L3" s="21" t="s">
        <v>284</v>
      </c>
      <c r="M3" s="20" t="s">
        <v>12</v>
      </c>
      <c r="N3" s="20" t="s">
        <v>13</v>
      </c>
      <c r="O3" s="20" t="s">
        <v>14</v>
      </c>
    </row>
    <row r="4" spans="1:26" ht="17" x14ac:dyDescent="0.2">
      <c r="A4" s="22">
        <v>1</v>
      </c>
      <c r="B4" s="23">
        <v>44959</v>
      </c>
      <c r="C4" s="24" t="s">
        <v>15</v>
      </c>
      <c r="D4" s="24" t="s">
        <v>16</v>
      </c>
      <c r="E4" s="25" t="s">
        <v>17</v>
      </c>
      <c r="F4" s="25" t="s">
        <v>18</v>
      </c>
      <c r="G4" s="25" t="s">
        <v>19</v>
      </c>
      <c r="H4" s="25" t="str">
        <f>VLOOKUP(LEFT(G4,2),Category,2,0)</f>
        <v>Perishable</v>
      </c>
      <c r="I4" s="25" t="s">
        <v>20</v>
      </c>
      <c r="J4" s="25" t="str">
        <f t="shared" ref="J4:J35" si="0">VLOOKUP(LEFT(F4,1),Barcode,2,0)</f>
        <v>Platinum</v>
      </c>
      <c r="K4" s="25">
        <v>5</v>
      </c>
      <c r="L4" s="26">
        <f>INDEX($Z$8:$Z$37,MATCH(I4,$Y$8:$Y$37,0))</f>
        <v>49999</v>
      </c>
      <c r="M4" s="33">
        <f>IF(K4&gt;8,3%,2%)</f>
        <v>0.02</v>
      </c>
      <c r="N4" s="25" t="str">
        <f>HLOOKUP(VALUE(RIGHT(F4,2)),Point,2,0)</f>
        <v>20 Point</v>
      </c>
      <c r="O4" s="26">
        <f>(K4*L4)-(L4*M4)</f>
        <v>248995.02</v>
      </c>
    </row>
    <row r="5" spans="1:26" ht="17" x14ac:dyDescent="0.2">
      <c r="A5" s="22">
        <v>2</v>
      </c>
      <c r="B5" s="23">
        <v>44959</v>
      </c>
      <c r="C5" s="24" t="s">
        <v>21</v>
      </c>
      <c r="D5" s="24" t="s">
        <v>16</v>
      </c>
      <c r="E5" s="25" t="s">
        <v>22</v>
      </c>
      <c r="F5" s="25" t="s">
        <v>23</v>
      </c>
      <c r="G5" s="25" t="s">
        <v>24</v>
      </c>
      <c r="H5" s="25" t="str">
        <f>VLOOKUP(LEFT(G5,2),Category,2,0)</f>
        <v>Perishable</v>
      </c>
      <c r="I5" s="25" t="s">
        <v>25</v>
      </c>
      <c r="J5" s="25" t="str">
        <f t="shared" si="0"/>
        <v>Platinum</v>
      </c>
      <c r="K5" s="25">
        <v>8</v>
      </c>
      <c r="L5" s="26">
        <f t="shared" ref="L5:L68" si="1">INDEX($Z$8:$Z$37,MATCH(I5,$Y$8:$Y$37,0))</f>
        <v>69999</v>
      </c>
      <c r="M5" s="33">
        <f>IF(K5&gt;8,3%,2%)</f>
        <v>0.02</v>
      </c>
      <c r="N5" s="25" t="str">
        <f t="shared" ref="N5:N35" si="2">HLOOKUP(VALUE(RIGHT(F5,2)),Point,2,0)</f>
        <v>20 Point</v>
      </c>
      <c r="O5" s="26">
        <f t="shared" ref="O5:O68" si="3">(K5*L5)-(L5*M5)</f>
        <v>558592.02</v>
      </c>
      <c r="Q5" s="129" t="s">
        <v>299</v>
      </c>
      <c r="R5" s="130"/>
      <c r="T5" s="129" t="s">
        <v>300</v>
      </c>
      <c r="U5" s="130"/>
      <c r="V5" s="130"/>
      <c r="W5" s="130"/>
      <c r="Y5" s="129" t="s">
        <v>304</v>
      </c>
      <c r="Z5" s="129"/>
    </row>
    <row r="6" spans="1:26" ht="17" x14ac:dyDescent="0.2">
      <c r="A6" s="22">
        <v>3</v>
      </c>
      <c r="B6" s="23">
        <v>44959</v>
      </c>
      <c r="C6" s="24" t="s">
        <v>26</v>
      </c>
      <c r="D6" s="24" t="s">
        <v>16</v>
      </c>
      <c r="E6" s="25" t="s">
        <v>27</v>
      </c>
      <c r="F6" s="25" t="s">
        <v>28</v>
      </c>
      <c r="G6" s="25" t="s">
        <v>19</v>
      </c>
      <c r="H6" s="25" t="str">
        <f t="shared" ref="H6:H35" si="4">VLOOKUP(LEFT(G6,2),Category,2,0)</f>
        <v>Perishable</v>
      </c>
      <c r="I6" s="25" t="s">
        <v>20</v>
      </c>
      <c r="J6" s="25" t="str">
        <f t="shared" si="0"/>
        <v>Platinum</v>
      </c>
      <c r="K6" s="25">
        <v>8</v>
      </c>
      <c r="L6" s="26">
        <f t="shared" si="1"/>
        <v>49999</v>
      </c>
      <c r="M6" s="33">
        <f>IF(K6&gt;8,3%,2%)</f>
        <v>0.02</v>
      </c>
      <c r="N6" s="25" t="str">
        <f t="shared" si="2"/>
        <v>20 Point</v>
      </c>
      <c r="O6" s="26">
        <f t="shared" si="3"/>
        <v>398992.02</v>
      </c>
    </row>
    <row r="7" spans="1:26" ht="17" x14ac:dyDescent="0.2">
      <c r="A7" s="22">
        <v>4</v>
      </c>
      <c r="B7" s="23">
        <v>44959</v>
      </c>
      <c r="C7" s="24" t="s">
        <v>29</v>
      </c>
      <c r="D7" s="24" t="s">
        <v>16</v>
      </c>
      <c r="E7" s="25" t="s">
        <v>22</v>
      </c>
      <c r="F7" s="25" t="s">
        <v>30</v>
      </c>
      <c r="G7" s="25" t="s">
        <v>31</v>
      </c>
      <c r="H7" s="25" t="str">
        <f t="shared" si="4"/>
        <v>Perishable</v>
      </c>
      <c r="I7" s="25" t="s">
        <v>32</v>
      </c>
      <c r="J7" s="25" t="str">
        <f t="shared" si="0"/>
        <v>Gold</v>
      </c>
      <c r="K7" s="25">
        <v>2</v>
      </c>
      <c r="L7" s="26">
        <f t="shared" si="1"/>
        <v>25500</v>
      </c>
      <c r="M7" s="32">
        <f>IF(K7&gt;8,3%,2%)</f>
        <v>0.02</v>
      </c>
      <c r="N7" s="25" t="str">
        <f t="shared" si="2"/>
        <v>5 Point</v>
      </c>
      <c r="O7" s="26">
        <f t="shared" si="3"/>
        <v>50490</v>
      </c>
      <c r="Q7" s="29" t="s">
        <v>6</v>
      </c>
      <c r="T7" s="16" t="s">
        <v>276</v>
      </c>
      <c r="U7" s="16" t="s">
        <v>278</v>
      </c>
      <c r="V7" s="16" t="s">
        <v>282</v>
      </c>
      <c r="W7" s="16" t="s">
        <v>280</v>
      </c>
      <c r="Y7" s="45" t="s">
        <v>305</v>
      </c>
      <c r="Z7" s="16" t="s">
        <v>301</v>
      </c>
    </row>
    <row r="8" spans="1:26" ht="17" x14ac:dyDescent="0.2">
      <c r="A8" s="22">
        <v>5</v>
      </c>
      <c r="B8" s="23">
        <v>44959</v>
      </c>
      <c r="C8" s="24" t="s">
        <v>33</v>
      </c>
      <c r="D8" s="24" t="s">
        <v>34</v>
      </c>
      <c r="E8" s="25" t="s">
        <v>17</v>
      </c>
      <c r="F8" s="25" t="s">
        <v>35</v>
      </c>
      <c r="G8" s="25" t="s">
        <v>36</v>
      </c>
      <c r="H8" s="25" t="str">
        <f t="shared" si="4"/>
        <v>Non Food Product</v>
      </c>
      <c r="I8" s="25" t="s">
        <v>37</v>
      </c>
      <c r="J8" s="25" t="str">
        <f t="shared" si="0"/>
        <v>Gold</v>
      </c>
      <c r="K8" s="25">
        <v>2</v>
      </c>
      <c r="L8" s="26">
        <f t="shared" si="1"/>
        <v>195000</v>
      </c>
      <c r="M8" s="32">
        <f t="shared" ref="M8:M19" si="5">IF(K8&gt;8,3%,2%)</f>
        <v>0.02</v>
      </c>
      <c r="N8" s="25" t="str">
        <f t="shared" si="2"/>
        <v>10 Point</v>
      </c>
      <c r="O8" s="26">
        <f t="shared" si="3"/>
        <v>386100</v>
      </c>
      <c r="Q8" s="14" t="s">
        <v>8</v>
      </c>
      <c r="T8" s="15" t="s">
        <v>186</v>
      </c>
      <c r="U8" s="38" t="s">
        <v>41</v>
      </c>
      <c r="V8" s="15" t="s">
        <v>64</v>
      </c>
      <c r="W8" s="38" t="s">
        <v>32</v>
      </c>
      <c r="Y8" s="15" t="s">
        <v>186</v>
      </c>
      <c r="Z8" s="40">
        <v>75000</v>
      </c>
    </row>
    <row r="9" spans="1:26" ht="17" x14ac:dyDescent="0.2">
      <c r="A9" s="22">
        <v>6</v>
      </c>
      <c r="B9" s="23">
        <v>44959</v>
      </c>
      <c r="C9" s="24" t="s">
        <v>38</v>
      </c>
      <c r="D9" s="24" t="s">
        <v>34</v>
      </c>
      <c r="E9" s="25" t="s">
        <v>17</v>
      </c>
      <c r="F9" s="25" t="s">
        <v>39</v>
      </c>
      <c r="G9" s="25" t="s">
        <v>40</v>
      </c>
      <c r="H9" s="25" t="str">
        <f t="shared" si="4"/>
        <v>Non Food Product</v>
      </c>
      <c r="I9" s="25" t="s">
        <v>41</v>
      </c>
      <c r="J9" s="25" t="str">
        <f t="shared" si="0"/>
        <v>Gold</v>
      </c>
      <c r="K9" s="25">
        <v>2</v>
      </c>
      <c r="L9" s="26">
        <f t="shared" si="1"/>
        <v>85500</v>
      </c>
      <c r="M9" s="32">
        <f t="shared" si="5"/>
        <v>0.02</v>
      </c>
      <c r="N9" s="25" t="str">
        <f t="shared" si="2"/>
        <v>5 Point</v>
      </c>
      <c r="O9" s="26">
        <f t="shared" si="3"/>
        <v>169290</v>
      </c>
      <c r="Q9" s="14" t="s">
        <v>274</v>
      </c>
      <c r="T9" s="15" t="s">
        <v>189</v>
      </c>
      <c r="U9" s="38" t="s">
        <v>137</v>
      </c>
      <c r="V9" s="15" t="s">
        <v>62</v>
      </c>
      <c r="W9" s="38" t="s">
        <v>20</v>
      </c>
      <c r="Y9" s="15" t="s">
        <v>189</v>
      </c>
      <c r="Z9" s="40">
        <v>120000</v>
      </c>
    </row>
    <row r="10" spans="1:26" ht="17" x14ac:dyDescent="0.2">
      <c r="A10" s="22">
        <v>7</v>
      </c>
      <c r="B10" s="23">
        <v>44959</v>
      </c>
      <c r="C10" s="24" t="s">
        <v>42</v>
      </c>
      <c r="D10" s="24" t="s">
        <v>16</v>
      </c>
      <c r="E10" s="25" t="s">
        <v>17</v>
      </c>
      <c r="F10" s="25" t="s">
        <v>43</v>
      </c>
      <c r="G10" s="25" t="s">
        <v>40</v>
      </c>
      <c r="H10" s="25" t="str">
        <f t="shared" si="4"/>
        <v>Non Food Product</v>
      </c>
      <c r="I10" s="25" t="s">
        <v>41</v>
      </c>
      <c r="J10" s="25" t="str">
        <f t="shared" si="0"/>
        <v>Gold</v>
      </c>
      <c r="K10" s="25">
        <v>3</v>
      </c>
      <c r="L10" s="26">
        <f t="shared" si="1"/>
        <v>85500</v>
      </c>
      <c r="M10" s="32">
        <f t="shared" si="5"/>
        <v>0.02</v>
      </c>
      <c r="N10" s="25" t="str">
        <f t="shared" si="2"/>
        <v>15 Point</v>
      </c>
      <c r="O10" s="26">
        <f t="shared" si="3"/>
        <v>254790</v>
      </c>
      <c r="Q10" s="14" t="s">
        <v>7</v>
      </c>
      <c r="T10" s="15" t="s">
        <v>89</v>
      </c>
      <c r="U10" s="38" t="s">
        <v>106</v>
      </c>
      <c r="V10" s="15" t="s">
        <v>83</v>
      </c>
      <c r="W10" s="38" t="s">
        <v>25</v>
      </c>
      <c r="Y10" s="15" t="s">
        <v>89</v>
      </c>
      <c r="Z10" s="40">
        <v>155000</v>
      </c>
    </row>
    <row r="11" spans="1:26" ht="17" x14ac:dyDescent="0.2">
      <c r="A11" s="22">
        <v>8</v>
      </c>
      <c r="B11" s="23">
        <v>44960</v>
      </c>
      <c r="C11" s="24" t="s">
        <v>44</v>
      </c>
      <c r="D11" s="24" t="s">
        <v>16</v>
      </c>
      <c r="E11" s="25" t="s">
        <v>17</v>
      </c>
      <c r="F11" s="25" t="s">
        <v>45</v>
      </c>
      <c r="G11" s="25" t="s">
        <v>46</v>
      </c>
      <c r="H11" s="25" t="str">
        <f t="shared" si="4"/>
        <v>Non Food Product</v>
      </c>
      <c r="I11" s="25" t="s">
        <v>37</v>
      </c>
      <c r="J11" s="25" t="str">
        <f t="shared" si="0"/>
        <v>Silver</v>
      </c>
      <c r="K11" s="25">
        <v>4</v>
      </c>
      <c r="L11" s="26">
        <f t="shared" si="1"/>
        <v>195000</v>
      </c>
      <c r="M11" s="32">
        <f t="shared" si="5"/>
        <v>0.02</v>
      </c>
      <c r="N11" s="25" t="str">
        <f t="shared" si="2"/>
        <v>15 Point</v>
      </c>
      <c r="O11" s="26">
        <f t="shared" si="3"/>
        <v>776100</v>
      </c>
      <c r="T11" s="15" t="s">
        <v>85</v>
      </c>
      <c r="U11" s="38" t="s">
        <v>37</v>
      </c>
      <c r="V11" s="15" t="s">
        <v>72</v>
      </c>
      <c r="W11" s="38" t="s">
        <v>115</v>
      </c>
      <c r="Y11" s="15" t="s">
        <v>85</v>
      </c>
      <c r="Z11" s="40">
        <v>85000</v>
      </c>
    </row>
    <row r="12" spans="1:26" ht="17" x14ac:dyDescent="0.2">
      <c r="A12" s="22">
        <v>9</v>
      </c>
      <c r="B12" s="23">
        <v>44960</v>
      </c>
      <c r="C12" s="24" t="s">
        <v>47</v>
      </c>
      <c r="D12" s="24" t="s">
        <v>16</v>
      </c>
      <c r="E12" s="25" t="s">
        <v>48</v>
      </c>
      <c r="F12" s="25" t="s">
        <v>49</v>
      </c>
      <c r="G12" s="25" t="s">
        <v>36</v>
      </c>
      <c r="H12" s="25" t="str">
        <f t="shared" si="4"/>
        <v>Non Food Product</v>
      </c>
      <c r="I12" s="25" t="s">
        <v>37</v>
      </c>
      <c r="J12" s="25" t="str">
        <f t="shared" si="0"/>
        <v>Silver</v>
      </c>
      <c r="K12" s="25">
        <v>4</v>
      </c>
      <c r="L12" s="26">
        <f t="shared" si="1"/>
        <v>195000</v>
      </c>
      <c r="M12" s="32">
        <f t="shared" si="5"/>
        <v>0.02</v>
      </c>
      <c r="N12" s="25" t="str">
        <f>HLOOKUP(VALUE(RIGHT(F12,2)),Point,2,0)</f>
        <v>5 Point</v>
      </c>
      <c r="O12" s="26">
        <f t="shared" si="3"/>
        <v>776100</v>
      </c>
      <c r="Q12" s="129" t="s">
        <v>283</v>
      </c>
      <c r="R12" s="130"/>
      <c r="T12" s="15" t="s">
        <v>147</v>
      </c>
      <c r="U12" s="38" t="s">
        <v>104</v>
      </c>
      <c r="V12" s="15" t="s">
        <v>78</v>
      </c>
      <c r="W12" s="38" t="s">
        <v>111</v>
      </c>
      <c r="Y12" s="15" t="s">
        <v>303</v>
      </c>
      <c r="Z12" s="40">
        <v>55000</v>
      </c>
    </row>
    <row r="13" spans="1:26" ht="17" x14ac:dyDescent="0.2">
      <c r="A13" s="22">
        <v>10</v>
      </c>
      <c r="B13" s="23">
        <v>44960</v>
      </c>
      <c r="C13" s="24" t="s">
        <v>50</v>
      </c>
      <c r="D13" s="24" t="s">
        <v>34</v>
      </c>
      <c r="E13" s="25" t="s">
        <v>22</v>
      </c>
      <c r="F13" s="25" t="s">
        <v>51</v>
      </c>
      <c r="G13" s="25" t="s">
        <v>52</v>
      </c>
      <c r="H13" s="25" t="str">
        <f t="shared" si="4"/>
        <v>Food Product</v>
      </c>
      <c r="I13" s="25" t="s">
        <v>53</v>
      </c>
      <c r="J13" s="25" t="str">
        <f t="shared" si="0"/>
        <v>Silver</v>
      </c>
      <c r="K13" s="25">
        <v>2</v>
      </c>
      <c r="L13" s="26">
        <f t="shared" si="1"/>
        <v>85000</v>
      </c>
      <c r="M13" s="32">
        <f t="shared" si="5"/>
        <v>0.02</v>
      </c>
      <c r="N13" s="25" t="str">
        <f t="shared" si="2"/>
        <v>20 Point</v>
      </c>
      <c r="O13" s="26">
        <f t="shared" si="3"/>
        <v>168300</v>
      </c>
      <c r="T13" s="15" t="s">
        <v>133</v>
      </c>
      <c r="U13" s="14"/>
      <c r="V13" s="14"/>
      <c r="W13" s="14"/>
      <c r="Y13" s="15" t="s">
        <v>147</v>
      </c>
      <c r="Z13" s="40">
        <v>125000</v>
      </c>
    </row>
    <row r="14" spans="1:26" ht="17" x14ac:dyDescent="0.2">
      <c r="A14" s="22">
        <v>11</v>
      </c>
      <c r="B14" s="23">
        <v>44960</v>
      </c>
      <c r="C14" s="24" t="s">
        <v>54</v>
      </c>
      <c r="D14" s="24" t="s">
        <v>34</v>
      </c>
      <c r="E14" s="25" t="s">
        <v>22</v>
      </c>
      <c r="F14" s="25" t="s">
        <v>55</v>
      </c>
      <c r="G14" s="25" t="s">
        <v>56</v>
      </c>
      <c r="H14" s="25" t="str">
        <f t="shared" si="4"/>
        <v>Food Product</v>
      </c>
      <c r="I14" s="25" t="s">
        <v>53</v>
      </c>
      <c r="J14" s="25" t="str">
        <f t="shared" si="0"/>
        <v>Silver</v>
      </c>
      <c r="K14" s="25">
        <v>3</v>
      </c>
      <c r="L14" s="26">
        <f t="shared" si="1"/>
        <v>85000</v>
      </c>
      <c r="M14" s="32">
        <f t="shared" si="5"/>
        <v>0.02</v>
      </c>
      <c r="N14" s="25" t="str">
        <f t="shared" si="2"/>
        <v>5 Point</v>
      </c>
      <c r="O14" s="26">
        <f t="shared" si="3"/>
        <v>253300</v>
      </c>
      <c r="Q14" s="16" t="s">
        <v>6</v>
      </c>
      <c r="R14" s="16" t="s">
        <v>7</v>
      </c>
      <c r="T14" s="15" t="s">
        <v>131</v>
      </c>
      <c r="U14" s="14"/>
      <c r="V14" s="14"/>
      <c r="W14" s="14"/>
      <c r="Y14" s="15" t="s">
        <v>133</v>
      </c>
      <c r="Z14" s="40">
        <v>95000</v>
      </c>
    </row>
    <row r="15" spans="1:26" ht="17" x14ac:dyDescent="0.2">
      <c r="A15" s="22">
        <v>12</v>
      </c>
      <c r="B15" s="23">
        <v>44960</v>
      </c>
      <c r="C15" s="24" t="s">
        <v>57</v>
      </c>
      <c r="D15" s="24" t="s">
        <v>34</v>
      </c>
      <c r="E15" s="25" t="s">
        <v>48</v>
      </c>
      <c r="F15" s="25" t="s">
        <v>58</v>
      </c>
      <c r="G15" s="25" t="s">
        <v>59</v>
      </c>
      <c r="H15" s="25" t="str">
        <f t="shared" si="4"/>
        <v>Food Product</v>
      </c>
      <c r="I15" s="25" t="s">
        <v>53</v>
      </c>
      <c r="J15" s="25" t="str">
        <f t="shared" si="0"/>
        <v>Silver</v>
      </c>
      <c r="K15" s="25">
        <v>2</v>
      </c>
      <c r="L15" s="26">
        <f t="shared" si="1"/>
        <v>85000</v>
      </c>
      <c r="M15" s="32">
        <f t="shared" si="5"/>
        <v>0.02</v>
      </c>
      <c r="N15" s="25" t="str">
        <f t="shared" si="2"/>
        <v>10 Point</v>
      </c>
      <c r="O15" s="26">
        <f t="shared" si="3"/>
        <v>168300</v>
      </c>
      <c r="Q15" s="5" t="s">
        <v>275</v>
      </c>
      <c r="R15" s="15" t="s">
        <v>276</v>
      </c>
      <c r="T15" s="15" t="s">
        <v>53</v>
      </c>
      <c r="U15" s="14"/>
      <c r="V15" s="14"/>
      <c r="W15" s="14"/>
      <c r="Y15" s="15" t="s">
        <v>131</v>
      </c>
      <c r="Z15" s="40">
        <v>90000</v>
      </c>
    </row>
    <row r="16" spans="1:26" ht="17" x14ac:dyDescent="0.2">
      <c r="A16" s="22">
        <v>13</v>
      </c>
      <c r="B16" s="23">
        <v>44960</v>
      </c>
      <c r="C16" s="24" t="s">
        <v>60</v>
      </c>
      <c r="D16" s="24" t="s">
        <v>16</v>
      </c>
      <c r="E16" s="25" t="s">
        <v>17</v>
      </c>
      <c r="F16" s="25" t="s">
        <v>30</v>
      </c>
      <c r="G16" s="25" t="s">
        <v>61</v>
      </c>
      <c r="H16" s="25" t="str">
        <f t="shared" si="4"/>
        <v>General Merchandise Product</v>
      </c>
      <c r="I16" s="25" t="s">
        <v>62</v>
      </c>
      <c r="J16" s="25" t="str">
        <f t="shared" si="0"/>
        <v>Gold</v>
      </c>
      <c r="K16" s="25">
        <v>2</v>
      </c>
      <c r="L16" s="26">
        <f t="shared" si="1"/>
        <v>75000</v>
      </c>
      <c r="M16" s="32">
        <f t="shared" si="5"/>
        <v>0.02</v>
      </c>
      <c r="N16" s="25" t="str">
        <f t="shared" si="2"/>
        <v>5 Point</v>
      </c>
      <c r="O16" s="26">
        <f t="shared" si="3"/>
        <v>148500</v>
      </c>
      <c r="Q16" s="5" t="s">
        <v>277</v>
      </c>
      <c r="R16" s="15" t="s">
        <v>278</v>
      </c>
      <c r="T16" s="15" t="s">
        <v>159</v>
      </c>
      <c r="U16" s="14"/>
      <c r="V16" s="14"/>
      <c r="W16" s="14"/>
      <c r="Y16" s="15" t="s">
        <v>53</v>
      </c>
      <c r="Z16" s="40">
        <v>85000</v>
      </c>
    </row>
    <row r="17" spans="1:26" ht="17" x14ac:dyDescent="0.2">
      <c r="A17" s="22">
        <v>14</v>
      </c>
      <c r="B17" s="23">
        <v>44960</v>
      </c>
      <c r="C17" s="24" t="s">
        <v>63</v>
      </c>
      <c r="D17" s="24" t="s">
        <v>16</v>
      </c>
      <c r="E17" s="25" t="s">
        <v>17</v>
      </c>
      <c r="F17" s="25" t="s">
        <v>39</v>
      </c>
      <c r="G17" s="25" t="s">
        <v>61</v>
      </c>
      <c r="H17" s="25" t="str">
        <f t="shared" si="4"/>
        <v>General Merchandise Product</v>
      </c>
      <c r="I17" s="25" t="s">
        <v>64</v>
      </c>
      <c r="J17" s="25" t="str">
        <f t="shared" si="0"/>
        <v>Gold</v>
      </c>
      <c r="K17" s="25">
        <v>3</v>
      </c>
      <c r="L17" s="26">
        <f t="shared" si="1"/>
        <v>85000</v>
      </c>
      <c r="M17" s="32">
        <f t="shared" si="5"/>
        <v>0.02</v>
      </c>
      <c r="N17" s="25" t="str">
        <f t="shared" si="2"/>
        <v>5 Point</v>
      </c>
      <c r="O17" s="26">
        <f t="shared" si="3"/>
        <v>253300</v>
      </c>
      <c r="Q17" s="5" t="s">
        <v>279</v>
      </c>
      <c r="R17" s="15" t="s">
        <v>280</v>
      </c>
      <c r="T17" s="15" t="s">
        <v>125</v>
      </c>
      <c r="U17" s="14"/>
      <c r="V17" s="14"/>
      <c r="W17" s="14"/>
      <c r="Y17" s="15" t="s">
        <v>159</v>
      </c>
      <c r="Z17" s="40">
        <v>70000</v>
      </c>
    </row>
    <row r="18" spans="1:26" ht="17" x14ac:dyDescent="0.2">
      <c r="A18" s="22">
        <v>15</v>
      </c>
      <c r="B18" s="23">
        <v>44960</v>
      </c>
      <c r="C18" s="24" t="s">
        <v>65</v>
      </c>
      <c r="D18" s="24" t="s">
        <v>34</v>
      </c>
      <c r="E18" s="25" t="s">
        <v>17</v>
      </c>
      <c r="F18" s="25" t="s">
        <v>66</v>
      </c>
      <c r="G18" s="25" t="s">
        <v>67</v>
      </c>
      <c r="H18" s="25" t="str">
        <f t="shared" si="4"/>
        <v>General Merchandise Product</v>
      </c>
      <c r="I18" s="25" t="s">
        <v>64</v>
      </c>
      <c r="J18" s="25" t="str">
        <f t="shared" si="0"/>
        <v>Gold</v>
      </c>
      <c r="K18" s="25">
        <v>3</v>
      </c>
      <c r="L18" s="26">
        <f t="shared" si="1"/>
        <v>85000</v>
      </c>
      <c r="M18" s="32">
        <f t="shared" si="5"/>
        <v>0.02</v>
      </c>
      <c r="N18" s="25" t="str">
        <f t="shared" si="2"/>
        <v>10 Point</v>
      </c>
      <c r="O18" s="26">
        <f t="shared" si="3"/>
        <v>253300</v>
      </c>
      <c r="Q18" s="5" t="s">
        <v>281</v>
      </c>
      <c r="R18" s="15" t="s">
        <v>282</v>
      </c>
      <c r="T18" s="15" t="s">
        <v>92</v>
      </c>
      <c r="U18" s="14"/>
      <c r="V18" s="14"/>
      <c r="W18" s="14"/>
      <c r="Y18" s="15" t="s">
        <v>125</v>
      </c>
      <c r="Z18" s="40">
        <v>175000</v>
      </c>
    </row>
    <row r="19" spans="1:26" ht="17" x14ac:dyDescent="0.2">
      <c r="A19" s="22">
        <v>16</v>
      </c>
      <c r="B19" s="23">
        <v>44960</v>
      </c>
      <c r="C19" s="24" t="s">
        <v>68</v>
      </c>
      <c r="D19" s="24" t="s">
        <v>34</v>
      </c>
      <c r="E19" s="25" t="s">
        <v>17</v>
      </c>
      <c r="F19" s="25" t="s">
        <v>69</v>
      </c>
      <c r="G19" s="25" t="s">
        <v>67</v>
      </c>
      <c r="H19" s="25" t="str">
        <f t="shared" si="4"/>
        <v>General Merchandise Product</v>
      </c>
      <c r="I19" s="25" t="s">
        <v>64</v>
      </c>
      <c r="J19" s="25" t="str">
        <f t="shared" si="0"/>
        <v>Gold</v>
      </c>
      <c r="K19" s="25">
        <v>7</v>
      </c>
      <c r="L19" s="26">
        <f t="shared" si="1"/>
        <v>85000</v>
      </c>
      <c r="M19" s="32">
        <f t="shared" si="5"/>
        <v>0.02</v>
      </c>
      <c r="N19" s="25" t="str">
        <f t="shared" si="2"/>
        <v>15 Point</v>
      </c>
      <c r="O19" s="26">
        <f t="shared" si="3"/>
        <v>593300</v>
      </c>
      <c r="T19" s="15" t="s">
        <v>127</v>
      </c>
      <c r="U19" s="14"/>
      <c r="V19" s="14"/>
      <c r="W19" s="14"/>
      <c r="Y19" s="15" t="s">
        <v>92</v>
      </c>
      <c r="Z19" s="40">
        <v>55000</v>
      </c>
    </row>
    <row r="20" spans="1:26" ht="17" x14ac:dyDescent="0.2">
      <c r="A20" s="22">
        <v>17</v>
      </c>
      <c r="B20" s="23">
        <v>44960</v>
      </c>
      <c r="C20" s="24" t="s">
        <v>70</v>
      </c>
      <c r="D20" s="24" t="s">
        <v>34</v>
      </c>
      <c r="E20" s="25" t="s">
        <v>17</v>
      </c>
      <c r="F20" s="25" t="s">
        <v>71</v>
      </c>
      <c r="G20" s="25" t="s">
        <v>67</v>
      </c>
      <c r="H20" s="25" t="str">
        <f t="shared" si="4"/>
        <v>General Merchandise Product</v>
      </c>
      <c r="I20" s="25" t="s">
        <v>72</v>
      </c>
      <c r="J20" s="25" t="str">
        <f t="shared" si="0"/>
        <v>Gold</v>
      </c>
      <c r="K20" s="25">
        <v>8</v>
      </c>
      <c r="L20" s="26">
        <f t="shared" si="1"/>
        <v>110500</v>
      </c>
      <c r="M20" s="32">
        <f t="shared" ref="M20:M51" si="6">IF(K20&gt;8,3%,2%)</f>
        <v>0.02</v>
      </c>
      <c r="N20" s="25" t="str">
        <f t="shared" si="2"/>
        <v>5 Point</v>
      </c>
      <c r="O20" s="26">
        <f t="shared" si="3"/>
        <v>881790</v>
      </c>
      <c r="T20" s="15" t="s">
        <v>101</v>
      </c>
      <c r="U20" s="14"/>
      <c r="V20" s="14"/>
      <c r="W20" s="14"/>
      <c r="Y20" s="15" t="s">
        <v>127</v>
      </c>
      <c r="Z20" s="40">
        <v>65000</v>
      </c>
    </row>
    <row r="21" spans="1:26" ht="17" x14ac:dyDescent="0.2">
      <c r="A21" s="22">
        <v>18</v>
      </c>
      <c r="B21" s="23">
        <v>44961</v>
      </c>
      <c r="C21" s="24" t="s">
        <v>73</v>
      </c>
      <c r="D21" s="24" t="s">
        <v>16</v>
      </c>
      <c r="E21" s="25" t="s">
        <v>17</v>
      </c>
      <c r="F21" s="25" t="s">
        <v>74</v>
      </c>
      <c r="G21" s="25" t="s">
        <v>67</v>
      </c>
      <c r="H21" s="25" t="str">
        <f t="shared" si="4"/>
        <v>General Merchandise Product</v>
      </c>
      <c r="I21" s="25" t="s">
        <v>62</v>
      </c>
      <c r="J21" s="25" t="str">
        <f t="shared" si="0"/>
        <v>Platinum</v>
      </c>
      <c r="K21" s="25">
        <v>12</v>
      </c>
      <c r="L21" s="26">
        <f t="shared" si="1"/>
        <v>75000</v>
      </c>
      <c r="M21" s="32">
        <f t="shared" si="6"/>
        <v>0.03</v>
      </c>
      <c r="N21" s="25" t="str">
        <f t="shared" si="2"/>
        <v>25 Point</v>
      </c>
      <c r="O21" s="26">
        <f t="shared" si="3"/>
        <v>897750</v>
      </c>
      <c r="Q21" s="30" t="s">
        <v>5</v>
      </c>
      <c r="T21" s="15" t="s">
        <v>99</v>
      </c>
      <c r="U21" s="14"/>
      <c r="V21" s="14"/>
      <c r="W21" s="14"/>
      <c r="Y21" s="15" t="s">
        <v>101</v>
      </c>
      <c r="Z21" s="40">
        <v>170000</v>
      </c>
    </row>
    <row r="22" spans="1:26" ht="17" x14ac:dyDescent="0.2">
      <c r="A22" s="22">
        <v>19</v>
      </c>
      <c r="B22" s="23">
        <v>44961</v>
      </c>
      <c r="C22" s="24" t="s">
        <v>75</v>
      </c>
      <c r="D22" s="24" t="s">
        <v>34</v>
      </c>
      <c r="E22" s="25" t="s">
        <v>17</v>
      </c>
      <c r="F22" s="25" t="s">
        <v>76</v>
      </c>
      <c r="G22" s="25" t="s">
        <v>77</v>
      </c>
      <c r="H22" s="25" t="str">
        <f t="shared" si="4"/>
        <v>General Merchandise Product</v>
      </c>
      <c r="I22" s="25" t="s">
        <v>78</v>
      </c>
      <c r="J22" s="25" t="str">
        <f t="shared" si="0"/>
        <v>Platinum</v>
      </c>
      <c r="K22" s="25">
        <v>12</v>
      </c>
      <c r="L22" s="26">
        <f t="shared" si="1"/>
        <v>135500</v>
      </c>
      <c r="M22" s="32">
        <f t="shared" si="6"/>
        <v>0.03</v>
      </c>
      <c r="N22" s="25" t="str">
        <f t="shared" si="2"/>
        <v>25 Point</v>
      </c>
      <c r="O22" s="26">
        <f t="shared" si="3"/>
        <v>1621935</v>
      </c>
      <c r="Q22" s="14" t="s">
        <v>285</v>
      </c>
      <c r="Y22" s="15" t="s">
        <v>99</v>
      </c>
      <c r="Z22" s="40">
        <v>185000</v>
      </c>
    </row>
    <row r="23" spans="1:26" ht="17" x14ac:dyDescent="0.2">
      <c r="A23" s="22">
        <v>20</v>
      </c>
      <c r="B23" s="23">
        <v>44961</v>
      </c>
      <c r="C23" s="24" t="s">
        <v>79</v>
      </c>
      <c r="D23" s="24" t="s">
        <v>34</v>
      </c>
      <c r="E23" s="25" t="s">
        <v>17</v>
      </c>
      <c r="F23" s="25" t="s">
        <v>30</v>
      </c>
      <c r="G23" s="25" t="s">
        <v>80</v>
      </c>
      <c r="H23" s="25" t="str">
        <f t="shared" si="4"/>
        <v>General Merchandise Product</v>
      </c>
      <c r="I23" s="25" t="s">
        <v>78</v>
      </c>
      <c r="J23" s="25" t="str">
        <f t="shared" si="0"/>
        <v>Gold</v>
      </c>
      <c r="K23" s="25">
        <v>11</v>
      </c>
      <c r="L23" s="26">
        <f t="shared" si="1"/>
        <v>135500</v>
      </c>
      <c r="M23" s="32">
        <f t="shared" si="6"/>
        <v>0.03</v>
      </c>
      <c r="N23" s="25" t="str">
        <f t="shared" si="2"/>
        <v>5 Point</v>
      </c>
      <c r="O23" s="26">
        <f t="shared" si="3"/>
        <v>1486435</v>
      </c>
      <c r="Q23" s="14" t="s">
        <v>13</v>
      </c>
      <c r="Y23" s="38" t="s">
        <v>41</v>
      </c>
      <c r="Z23" s="40">
        <v>85500</v>
      </c>
    </row>
    <row r="24" spans="1:26" ht="17" x14ac:dyDescent="0.2">
      <c r="A24" s="22">
        <v>21</v>
      </c>
      <c r="B24" s="23">
        <v>44962</v>
      </c>
      <c r="C24" s="24" t="s">
        <v>81</v>
      </c>
      <c r="D24" s="24" t="s">
        <v>34</v>
      </c>
      <c r="E24" s="25" t="s">
        <v>17</v>
      </c>
      <c r="F24" s="25" t="s">
        <v>82</v>
      </c>
      <c r="G24" s="25" t="s">
        <v>61</v>
      </c>
      <c r="H24" s="25" t="str">
        <f t="shared" si="4"/>
        <v>General Merchandise Product</v>
      </c>
      <c r="I24" s="25" t="s">
        <v>83</v>
      </c>
      <c r="J24" s="25" t="str">
        <f t="shared" si="0"/>
        <v>Gold</v>
      </c>
      <c r="K24" s="25">
        <v>9</v>
      </c>
      <c r="L24" s="26">
        <f t="shared" si="1"/>
        <v>55500</v>
      </c>
      <c r="M24" s="32">
        <f t="shared" si="6"/>
        <v>0.03</v>
      </c>
      <c r="N24" s="25" t="str">
        <f t="shared" si="2"/>
        <v>25 Point</v>
      </c>
      <c r="O24" s="26">
        <f t="shared" si="3"/>
        <v>497835</v>
      </c>
      <c r="U24" s="129" t="s">
        <v>302</v>
      </c>
      <c r="V24" s="130"/>
      <c r="Y24" s="38" t="s">
        <v>137</v>
      </c>
      <c r="Z24" s="40">
        <v>115000</v>
      </c>
    </row>
    <row r="25" spans="1:26" ht="17" x14ac:dyDescent="0.2">
      <c r="A25" s="22">
        <v>22</v>
      </c>
      <c r="B25" s="23">
        <v>44962</v>
      </c>
      <c r="C25" s="24" t="s">
        <v>84</v>
      </c>
      <c r="D25" s="24" t="s">
        <v>34</v>
      </c>
      <c r="E25" s="25" t="s">
        <v>48</v>
      </c>
      <c r="F25" s="25" t="s">
        <v>82</v>
      </c>
      <c r="G25" s="25" t="s">
        <v>59</v>
      </c>
      <c r="H25" s="25" t="str">
        <f t="shared" si="4"/>
        <v>Food Product</v>
      </c>
      <c r="I25" s="25" t="s">
        <v>85</v>
      </c>
      <c r="J25" s="25" t="str">
        <f t="shared" si="0"/>
        <v>Gold</v>
      </c>
      <c r="K25" s="25">
        <v>9</v>
      </c>
      <c r="L25" s="26">
        <f t="shared" si="1"/>
        <v>85000</v>
      </c>
      <c r="M25" s="32">
        <f t="shared" si="6"/>
        <v>0.03</v>
      </c>
      <c r="N25" s="25" t="str">
        <f t="shared" si="2"/>
        <v>25 Point</v>
      </c>
      <c r="O25" s="26">
        <f t="shared" si="3"/>
        <v>762450</v>
      </c>
      <c r="Q25" s="129" t="s">
        <v>286</v>
      </c>
      <c r="R25" s="130"/>
      <c r="Y25" s="38" t="s">
        <v>106</v>
      </c>
      <c r="Z25" s="40">
        <v>45500</v>
      </c>
    </row>
    <row r="26" spans="1:26" ht="17" x14ac:dyDescent="0.2">
      <c r="A26" s="22">
        <v>23</v>
      </c>
      <c r="B26" s="23">
        <v>44962</v>
      </c>
      <c r="C26" s="24" t="s">
        <v>86</v>
      </c>
      <c r="D26" s="24" t="s">
        <v>34</v>
      </c>
      <c r="E26" s="25" t="s">
        <v>48</v>
      </c>
      <c r="F26" s="25" t="s">
        <v>87</v>
      </c>
      <c r="G26" s="25" t="s">
        <v>88</v>
      </c>
      <c r="H26" s="25" t="str">
        <f t="shared" si="4"/>
        <v>Food Product</v>
      </c>
      <c r="I26" s="25" t="s">
        <v>89</v>
      </c>
      <c r="J26" s="25" t="str">
        <f t="shared" si="0"/>
        <v>Gold</v>
      </c>
      <c r="K26" s="25">
        <v>5</v>
      </c>
      <c r="L26" s="26">
        <f t="shared" si="1"/>
        <v>155000</v>
      </c>
      <c r="M26" s="32">
        <f t="shared" si="6"/>
        <v>0.02</v>
      </c>
      <c r="N26" s="25" t="str">
        <f t="shared" si="2"/>
        <v>25 Point</v>
      </c>
      <c r="O26" s="26">
        <f t="shared" si="3"/>
        <v>771900</v>
      </c>
      <c r="U26" s="45" t="str">
        <f>H13</f>
        <v>Food Product</v>
      </c>
      <c r="V26" s="44">
        <f>AVERAGEIF($H$4:$H$183,H13,$L$4:$L$183)</f>
        <v>94245.283018867922</v>
      </c>
      <c r="Y26" s="38" t="s">
        <v>37</v>
      </c>
      <c r="Z26" s="40">
        <v>195000</v>
      </c>
    </row>
    <row r="27" spans="1:26" ht="17" x14ac:dyDescent="0.2">
      <c r="A27" s="22">
        <v>24</v>
      </c>
      <c r="B27" s="23">
        <v>44962</v>
      </c>
      <c r="C27" s="24" t="s">
        <v>90</v>
      </c>
      <c r="D27" s="24" t="s">
        <v>16</v>
      </c>
      <c r="E27" s="25" t="s">
        <v>17</v>
      </c>
      <c r="F27" s="25" t="s">
        <v>91</v>
      </c>
      <c r="G27" s="25" t="s">
        <v>56</v>
      </c>
      <c r="H27" s="25" t="str">
        <f t="shared" si="4"/>
        <v>Food Product</v>
      </c>
      <c r="I27" s="25" t="s">
        <v>92</v>
      </c>
      <c r="J27" s="25" t="str">
        <f t="shared" si="0"/>
        <v>Gold</v>
      </c>
      <c r="K27" s="25">
        <v>4</v>
      </c>
      <c r="L27" s="26">
        <f t="shared" si="1"/>
        <v>55000</v>
      </c>
      <c r="M27" s="32">
        <f t="shared" si="6"/>
        <v>0.02</v>
      </c>
      <c r="N27" s="25" t="str">
        <f t="shared" si="2"/>
        <v>10 Point</v>
      </c>
      <c r="O27" s="26">
        <f t="shared" si="3"/>
        <v>218900</v>
      </c>
      <c r="Q27" s="31" t="s">
        <v>5</v>
      </c>
      <c r="R27" s="31" t="s">
        <v>9</v>
      </c>
      <c r="U27" s="45" t="str">
        <f>H8</f>
        <v>Non Food Product</v>
      </c>
      <c r="V27" s="44">
        <f>AVERAGEIF($H$4:$H$183,H8,$L$4:$L$183)</f>
        <v>135627.6595744681</v>
      </c>
      <c r="Y27" s="38" t="s">
        <v>104</v>
      </c>
      <c r="Z27" s="40">
        <v>225000</v>
      </c>
    </row>
    <row r="28" spans="1:26" ht="17" x14ac:dyDescent="0.2">
      <c r="A28" s="22">
        <v>25</v>
      </c>
      <c r="B28" s="23">
        <v>44962</v>
      </c>
      <c r="C28" s="24" t="s">
        <v>93</v>
      </c>
      <c r="D28" s="24" t="s">
        <v>34</v>
      </c>
      <c r="E28" s="25" t="s">
        <v>17</v>
      </c>
      <c r="F28" s="25" t="s">
        <v>94</v>
      </c>
      <c r="G28" s="25" t="s">
        <v>56</v>
      </c>
      <c r="H28" s="25" t="str">
        <f t="shared" si="4"/>
        <v>Food Product</v>
      </c>
      <c r="I28" s="25" t="s">
        <v>89</v>
      </c>
      <c r="J28" s="25" t="str">
        <f t="shared" si="0"/>
        <v>Gold</v>
      </c>
      <c r="K28" s="25">
        <v>3</v>
      </c>
      <c r="L28" s="26">
        <f t="shared" si="1"/>
        <v>155000</v>
      </c>
      <c r="M28" s="32">
        <f t="shared" si="6"/>
        <v>0.02</v>
      </c>
      <c r="N28" s="25" t="str">
        <f t="shared" si="2"/>
        <v>10 Point</v>
      </c>
      <c r="O28" s="26">
        <f t="shared" si="3"/>
        <v>461900</v>
      </c>
      <c r="Q28" s="5" t="s">
        <v>287</v>
      </c>
      <c r="R28" s="14" t="s">
        <v>288</v>
      </c>
      <c r="U28" s="45" t="str">
        <f>H16</f>
        <v>General Merchandise Product</v>
      </c>
      <c r="V28" s="44">
        <f>AVERAGEIF($H$4:$H$183,U28,$L$4:$L$183)</f>
        <v>92558.823529411762</v>
      </c>
      <c r="Y28" s="15" t="s">
        <v>64</v>
      </c>
      <c r="Z28" s="40">
        <v>85000</v>
      </c>
    </row>
    <row r="29" spans="1:26" ht="17" x14ac:dyDescent="0.2">
      <c r="A29" s="22">
        <v>26</v>
      </c>
      <c r="B29" s="23">
        <v>44962</v>
      </c>
      <c r="C29" s="24" t="s">
        <v>95</v>
      </c>
      <c r="D29" s="24" t="s">
        <v>34</v>
      </c>
      <c r="E29" s="25" t="s">
        <v>17</v>
      </c>
      <c r="F29" s="25" t="s">
        <v>96</v>
      </c>
      <c r="G29" s="25" t="s">
        <v>56</v>
      </c>
      <c r="H29" s="25" t="str">
        <f t="shared" si="4"/>
        <v>Food Product</v>
      </c>
      <c r="I29" s="25" t="s">
        <v>92</v>
      </c>
      <c r="J29" s="25" t="str">
        <f t="shared" si="0"/>
        <v>Gold</v>
      </c>
      <c r="K29" s="25">
        <v>2</v>
      </c>
      <c r="L29" s="26">
        <f t="shared" si="1"/>
        <v>55000</v>
      </c>
      <c r="M29" s="32">
        <f t="shared" si="6"/>
        <v>0.02</v>
      </c>
      <c r="N29" s="25" t="str">
        <f t="shared" si="2"/>
        <v>15 Point</v>
      </c>
      <c r="O29" s="26">
        <f t="shared" si="3"/>
        <v>108900</v>
      </c>
      <c r="Q29" s="5" t="s">
        <v>289</v>
      </c>
      <c r="R29" s="14" t="s">
        <v>290</v>
      </c>
      <c r="U29" s="45" t="str">
        <f>H4</f>
        <v>Perishable</v>
      </c>
      <c r="V29" s="44">
        <f>AVERAGEIF($H$4:$H$183,U29,$L$4:$L$183)</f>
        <v>52731.304347826088</v>
      </c>
      <c r="Y29" s="15" t="s">
        <v>62</v>
      </c>
      <c r="Z29" s="40">
        <v>75000</v>
      </c>
    </row>
    <row r="30" spans="1:26" ht="17" x14ac:dyDescent="0.2">
      <c r="A30" s="22">
        <v>27</v>
      </c>
      <c r="B30" s="23">
        <v>44962</v>
      </c>
      <c r="C30" s="24" t="s">
        <v>97</v>
      </c>
      <c r="D30" s="24" t="s">
        <v>16</v>
      </c>
      <c r="E30" s="25" t="s">
        <v>17</v>
      </c>
      <c r="F30" s="25" t="s">
        <v>98</v>
      </c>
      <c r="G30" s="25" t="s">
        <v>52</v>
      </c>
      <c r="H30" s="25" t="str">
        <f t="shared" si="4"/>
        <v>Food Product</v>
      </c>
      <c r="I30" s="25" t="s">
        <v>99</v>
      </c>
      <c r="J30" s="25" t="str">
        <f t="shared" si="0"/>
        <v>Gold</v>
      </c>
      <c r="K30" s="25">
        <v>3</v>
      </c>
      <c r="L30" s="26">
        <f t="shared" si="1"/>
        <v>185000</v>
      </c>
      <c r="M30" s="32">
        <f t="shared" si="6"/>
        <v>0.02</v>
      </c>
      <c r="N30" s="25" t="str">
        <f t="shared" si="2"/>
        <v>25 Point</v>
      </c>
      <c r="O30" s="26">
        <f t="shared" si="3"/>
        <v>551300</v>
      </c>
      <c r="Q30" s="5" t="s">
        <v>291</v>
      </c>
      <c r="R30" s="14" t="s">
        <v>292</v>
      </c>
      <c r="Y30" s="15" t="s">
        <v>83</v>
      </c>
      <c r="Z30" s="40">
        <v>55500</v>
      </c>
    </row>
    <row r="31" spans="1:26" ht="17" x14ac:dyDescent="0.2">
      <c r="A31" s="22">
        <v>28</v>
      </c>
      <c r="B31" s="23">
        <v>44962</v>
      </c>
      <c r="C31" s="24" t="s">
        <v>100</v>
      </c>
      <c r="D31" s="24" t="s">
        <v>16</v>
      </c>
      <c r="E31" s="25" t="s">
        <v>17</v>
      </c>
      <c r="F31" s="25" t="s">
        <v>23</v>
      </c>
      <c r="G31" s="25" t="s">
        <v>52</v>
      </c>
      <c r="H31" s="25" t="str">
        <f t="shared" si="4"/>
        <v>Food Product</v>
      </c>
      <c r="I31" s="25" t="s">
        <v>101</v>
      </c>
      <c r="J31" s="25" t="str">
        <f t="shared" si="0"/>
        <v>Platinum</v>
      </c>
      <c r="K31" s="25">
        <v>3</v>
      </c>
      <c r="L31" s="26">
        <f t="shared" si="1"/>
        <v>170000</v>
      </c>
      <c r="M31" s="32">
        <f t="shared" si="6"/>
        <v>0.02</v>
      </c>
      <c r="N31" s="25" t="str">
        <f t="shared" si="2"/>
        <v>20 Point</v>
      </c>
      <c r="O31" s="26">
        <f t="shared" si="3"/>
        <v>506600</v>
      </c>
      <c r="Y31" s="15" t="s">
        <v>72</v>
      </c>
      <c r="Z31" s="40">
        <v>110500</v>
      </c>
    </row>
    <row r="32" spans="1:26" ht="17" x14ac:dyDescent="0.2">
      <c r="A32" s="22">
        <v>29</v>
      </c>
      <c r="B32" s="23">
        <v>44962</v>
      </c>
      <c r="C32" s="24" t="s">
        <v>102</v>
      </c>
      <c r="D32" s="24" t="s">
        <v>16</v>
      </c>
      <c r="E32" s="25" t="s">
        <v>17</v>
      </c>
      <c r="F32" s="25" t="s">
        <v>28</v>
      </c>
      <c r="G32" s="25" t="s">
        <v>103</v>
      </c>
      <c r="H32" s="25" t="str">
        <f t="shared" si="4"/>
        <v>Non Food Product</v>
      </c>
      <c r="I32" s="25" t="s">
        <v>104</v>
      </c>
      <c r="J32" s="25" t="str">
        <f t="shared" si="0"/>
        <v>Platinum</v>
      </c>
      <c r="K32" s="25">
        <v>3</v>
      </c>
      <c r="L32" s="26">
        <f t="shared" si="1"/>
        <v>225000</v>
      </c>
      <c r="M32" s="32">
        <f t="shared" si="6"/>
        <v>0.02</v>
      </c>
      <c r="N32" s="25" t="str">
        <f t="shared" si="2"/>
        <v>20 Point</v>
      </c>
      <c r="O32" s="26">
        <f t="shared" si="3"/>
        <v>670500</v>
      </c>
      <c r="Q32" s="129" t="s">
        <v>298</v>
      </c>
      <c r="R32" s="129"/>
      <c r="Y32" s="15" t="s">
        <v>78</v>
      </c>
      <c r="Z32" s="40">
        <v>135500</v>
      </c>
    </row>
    <row r="33" spans="1:26" ht="17" x14ac:dyDescent="0.2">
      <c r="A33" s="22">
        <v>30</v>
      </c>
      <c r="B33" s="23">
        <v>44962</v>
      </c>
      <c r="C33" s="24" t="s">
        <v>105</v>
      </c>
      <c r="D33" s="24" t="s">
        <v>16</v>
      </c>
      <c r="E33" s="25" t="s">
        <v>48</v>
      </c>
      <c r="F33" s="25" t="s">
        <v>30</v>
      </c>
      <c r="G33" s="25" t="s">
        <v>103</v>
      </c>
      <c r="H33" s="25" t="str">
        <f t="shared" si="4"/>
        <v>Non Food Product</v>
      </c>
      <c r="I33" s="25" t="s">
        <v>106</v>
      </c>
      <c r="J33" s="25" t="str">
        <f t="shared" si="0"/>
        <v>Gold</v>
      </c>
      <c r="K33" s="25">
        <v>2</v>
      </c>
      <c r="L33" s="26">
        <f t="shared" si="1"/>
        <v>45500</v>
      </c>
      <c r="M33" s="32">
        <f t="shared" si="6"/>
        <v>0.02</v>
      </c>
      <c r="N33" s="25" t="str">
        <f t="shared" si="2"/>
        <v>5 Point</v>
      </c>
      <c r="O33" s="26">
        <f t="shared" si="3"/>
        <v>90090</v>
      </c>
      <c r="S33" s="42"/>
      <c r="T33" s="43"/>
      <c r="U33" s="43"/>
      <c r="V33" s="43"/>
      <c r="Y33" s="38" t="s">
        <v>32</v>
      </c>
      <c r="Z33" s="40">
        <v>25500</v>
      </c>
    </row>
    <row r="34" spans="1:26" ht="17" x14ac:dyDescent="0.2">
      <c r="A34" s="22">
        <v>31</v>
      </c>
      <c r="B34" s="23">
        <v>44962</v>
      </c>
      <c r="C34" s="24" t="s">
        <v>107</v>
      </c>
      <c r="D34" s="24" t="s">
        <v>16</v>
      </c>
      <c r="E34" s="25" t="s">
        <v>22</v>
      </c>
      <c r="F34" s="25" t="s">
        <v>35</v>
      </c>
      <c r="G34" s="25" t="s">
        <v>40</v>
      </c>
      <c r="H34" s="25" t="str">
        <f t="shared" si="4"/>
        <v>Non Food Product</v>
      </c>
      <c r="I34" s="25" t="s">
        <v>104</v>
      </c>
      <c r="J34" s="25" t="str">
        <f t="shared" si="0"/>
        <v>Gold</v>
      </c>
      <c r="K34" s="25">
        <v>2</v>
      </c>
      <c r="L34" s="26">
        <f>INDEX($Z$8:$Z$37,MATCH(I34,$Y$8:$Y$37,0))</f>
        <v>225000</v>
      </c>
      <c r="M34" s="32">
        <f t="shared" si="6"/>
        <v>0.02</v>
      </c>
      <c r="N34" s="25" t="str">
        <f t="shared" si="2"/>
        <v>10 Point</v>
      </c>
      <c r="O34" s="26">
        <f t="shared" si="3"/>
        <v>445500</v>
      </c>
      <c r="Q34" s="35" t="s">
        <v>5</v>
      </c>
      <c r="R34" s="36">
        <v>11</v>
      </c>
      <c r="S34" s="41">
        <v>12</v>
      </c>
      <c r="T34" s="41">
        <v>13</v>
      </c>
      <c r="U34" s="41">
        <v>14</v>
      </c>
      <c r="V34" s="41">
        <v>15</v>
      </c>
      <c r="Y34" s="38" t="s">
        <v>20</v>
      </c>
      <c r="Z34" s="40">
        <v>49999</v>
      </c>
    </row>
    <row r="35" spans="1:26" ht="17" x14ac:dyDescent="0.2">
      <c r="A35" s="22">
        <v>32</v>
      </c>
      <c r="B35" s="23">
        <v>44962</v>
      </c>
      <c r="C35" s="24" t="s">
        <v>108</v>
      </c>
      <c r="D35" s="24" t="s">
        <v>16</v>
      </c>
      <c r="E35" s="25" t="s">
        <v>22</v>
      </c>
      <c r="F35" s="25" t="s">
        <v>39</v>
      </c>
      <c r="G35" s="25" t="s">
        <v>46</v>
      </c>
      <c r="H35" s="25" t="str">
        <f t="shared" si="4"/>
        <v>Non Food Product</v>
      </c>
      <c r="I35" s="25" t="s">
        <v>106</v>
      </c>
      <c r="J35" s="25" t="str">
        <f t="shared" si="0"/>
        <v>Gold</v>
      </c>
      <c r="K35" s="25">
        <v>4</v>
      </c>
      <c r="L35" s="26">
        <f t="shared" si="1"/>
        <v>45500</v>
      </c>
      <c r="M35" s="32">
        <f t="shared" si="6"/>
        <v>0.02</v>
      </c>
      <c r="N35" s="25" t="str">
        <f t="shared" si="2"/>
        <v>5 Point</v>
      </c>
      <c r="O35" s="26">
        <f t="shared" si="3"/>
        <v>181090</v>
      </c>
      <c r="Q35" s="35" t="s">
        <v>13</v>
      </c>
      <c r="R35" s="34" t="s">
        <v>293</v>
      </c>
      <c r="S35" s="34" t="s">
        <v>294</v>
      </c>
      <c r="T35" s="34" t="s">
        <v>295</v>
      </c>
      <c r="U35" s="34" t="s">
        <v>296</v>
      </c>
      <c r="V35" s="34" t="s">
        <v>297</v>
      </c>
      <c r="Y35" s="38" t="s">
        <v>25</v>
      </c>
      <c r="Z35" s="40">
        <v>69999</v>
      </c>
    </row>
    <row r="36" spans="1:26" ht="17" x14ac:dyDescent="0.2">
      <c r="A36" s="22">
        <v>33</v>
      </c>
      <c r="B36" s="23">
        <v>44962</v>
      </c>
      <c r="C36" s="24" t="s">
        <v>109</v>
      </c>
      <c r="D36" s="24" t="s">
        <v>16</v>
      </c>
      <c r="E36" s="25" t="s">
        <v>22</v>
      </c>
      <c r="F36" s="25" t="s">
        <v>43</v>
      </c>
      <c r="G36" s="25" t="s">
        <v>110</v>
      </c>
      <c r="H36" s="25" t="str">
        <f t="shared" ref="H36:H67" si="7">VLOOKUP(LEFT(G36,2),Category,2,0)</f>
        <v>Perishable</v>
      </c>
      <c r="I36" s="25" t="s">
        <v>111</v>
      </c>
      <c r="J36" s="25" t="str">
        <f t="shared" ref="J36:J67" si="8">VLOOKUP(LEFT(F36,1),Barcode,2,0)</f>
        <v>Gold</v>
      </c>
      <c r="K36" s="25">
        <v>4</v>
      </c>
      <c r="L36" s="26">
        <f t="shared" si="1"/>
        <v>45555</v>
      </c>
      <c r="M36" s="32">
        <f t="shared" si="6"/>
        <v>0.02</v>
      </c>
      <c r="N36" s="25" t="str">
        <f t="shared" ref="N36:N67" si="9">HLOOKUP(VALUE(RIGHT(F36,2)),Point,2,0)</f>
        <v>15 Point</v>
      </c>
      <c r="O36" s="26">
        <f t="shared" si="3"/>
        <v>181308.9</v>
      </c>
      <c r="Y36" s="38" t="s">
        <v>115</v>
      </c>
      <c r="Z36" s="40">
        <v>89999</v>
      </c>
    </row>
    <row r="37" spans="1:26" ht="17" x14ac:dyDescent="0.2">
      <c r="A37" s="22">
        <v>34</v>
      </c>
      <c r="B37" s="23">
        <v>44962</v>
      </c>
      <c r="C37" s="24" t="s">
        <v>112</v>
      </c>
      <c r="D37" s="24" t="s">
        <v>16</v>
      </c>
      <c r="E37" s="25" t="s">
        <v>22</v>
      </c>
      <c r="F37" s="25" t="s">
        <v>45</v>
      </c>
      <c r="G37" s="25" t="s">
        <v>110</v>
      </c>
      <c r="H37" s="25" t="str">
        <f t="shared" si="7"/>
        <v>Perishable</v>
      </c>
      <c r="I37" s="25" t="s">
        <v>32</v>
      </c>
      <c r="J37" s="25" t="str">
        <f t="shared" si="8"/>
        <v>Silver</v>
      </c>
      <c r="K37" s="25">
        <v>5</v>
      </c>
      <c r="L37" s="26">
        <f t="shared" si="1"/>
        <v>25500</v>
      </c>
      <c r="M37" s="32">
        <f t="shared" si="6"/>
        <v>0.02</v>
      </c>
      <c r="N37" s="25" t="str">
        <f t="shared" si="9"/>
        <v>15 Point</v>
      </c>
      <c r="O37" s="26">
        <f t="shared" si="3"/>
        <v>126990</v>
      </c>
      <c r="Y37" s="38" t="s">
        <v>111</v>
      </c>
      <c r="Z37" s="40">
        <v>45555</v>
      </c>
    </row>
    <row r="38" spans="1:26" ht="17" x14ac:dyDescent="0.2">
      <c r="A38" s="22">
        <v>35</v>
      </c>
      <c r="B38" s="23">
        <v>44962</v>
      </c>
      <c r="C38" s="24" t="s">
        <v>113</v>
      </c>
      <c r="D38" s="24" t="s">
        <v>34</v>
      </c>
      <c r="E38" s="25" t="s">
        <v>22</v>
      </c>
      <c r="F38" s="25" t="s">
        <v>49</v>
      </c>
      <c r="G38" s="25" t="s">
        <v>19</v>
      </c>
      <c r="H38" s="25" t="str">
        <f t="shared" si="7"/>
        <v>Perishable</v>
      </c>
      <c r="I38" s="25" t="s">
        <v>32</v>
      </c>
      <c r="J38" s="25" t="str">
        <f t="shared" si="8"/>
        <v>Silver</v>
      </c>
      <c r="K38" s="25">
        <v>5</v>
      </c>
      <c r="L38" s="26">
        <f t="shared" si="1"/>
        <v>25500</v>
      </c>
      <c r="M38" s="32">
        <f t="shared" si="6"/>
        <v>0.02</v>
      </c>
      <c r="N38" s="25" t="str">
        <f t="shared" si="9"/>
        <v>5 Point</v>
      </c>
      <c r="O38" s="26">
        <f t="shared" si="3"/>
        <v>126990</v>
      </c>
    </row>
    <row r="39" spans="1:26" x14ac:dyDescent="0.2">
      <c r="A39" s="22">
        <v>36</v>
      </c>
      <c r="B39" s="23">
        <v>44962</v>
      </c>
      <c r="C39" s="24" t="s">
        <v>114</v>
      </c>
      <c r="D39" s="24" t="s">
        <v>34</v>
      </c>
      <c r="E39" s="25" t="s">
        <v>22</v>
      </c>
      <c r="F39" s="25" t="s">
        <v>51</v>
      </c>
      <c r="G39" s="25" t="s">
        <v>24</v>
      </c>
      <c r="H39" s="25" t="str">
        <f t="shared" si="7"/>
        <v>Perishable</v>
      </c>
      <c r="I39" s="25" t="s">
        <v>115</v>
      </c>
      <c r="J39" s="25" t="str">
        <f t="shared" si="8"/>
        <v>Silver</v>
      </c>
      <c r="K39" s="25">
        <v>7</v>
      </c>
      <c r="L39" s="26">
        <f t="shared" si="1"/>
        <v>89999</v>
      </c>
      <c r="M39" s="32">
        <f t="shared" si="6"/>
        <v>0.02</v>
      </c>
      <c r="N39" s="25" t="str">
        <f t="shared" si="9"/>
        <v>20 Point</v>
      </c>
      <c r="O39" s="26">
        <f t="shared" si="3"/>
        <v>628193.02</v>
      </c>
    </row>
    <row r="40" spans="1:26" ht="17" x14ac:dyDescent="0.2">
      <c r="A40" s="22">
        <v>37</v>
      </c>
      <c r="B40" s="23">
        <v>44963</v>
      </c>
      <c r="C40" s="24" t="s">
        <v>116</v>
      </c>
      <c r="D40" s="24" t="s">
        <v>34</v>
      </c>
      <c r="E40" s="25" t="s">
        <v>22</v>
      </c>
      <c r="F40" s="25" t="s">
        <v>55</v>
      </c>
      <c r="G40" s="25" t="s">
        <v>24</v>
      </c>
      <c r="H40" s="25" t="str">
        <f t="shared" si="7"/>
        <v>Perishable</v>
      </c>
      <c r="I40" s="25" t="s">
        <v>115</v>
      </c>
      <c r="J40" s="25" t="str">
        <f t="shared" si="8"/>
        <v>Silver</v>
      </c>
      <c r="K40" s="25">
        <v>8</v>
      </c>
      <c r="L40" s="26">
        <f t="shared" si="1"/>
        <v>89999</v>
      </c>
      <c r="M40" s="32">
        <f t="shared" si="6"/>
        <v>0.02</v>
      </c>
      <c r="N40" s="25" t="str">
        <f t="shared" si="9"/>
        <v>5 Point</v>
      </c>
      <c r="O40" s="26">
        <f t="shared" si="3"/>
        <v>718192.02</v>
      </c>
    </row>
    <row r="41" spans="1:26" ht="17" x14ac:dyDescent="0.2">
      <c r="A41" s="22">
        <v>38</v>
      </c>
      <c r="B41" s="23">
        <v>44963</v>
      </c>
      <c r="C41" s="24" t="s">
        <v>117</v>
      </c>
      <c r="D41" s="24" t="s">
        <v>34</v>
      </c>
      <c r="E41" s="25" t="s">
        <v>22</v>
      </c>
      <c r="F41" s="25" t="s">
        <v>74</v>
      </c>
      <c r="G41" s="25" t="s">
        <v>24</v>
      </c>
      <c r="H41" s="25" t="str">
        <f t="shared" si="7"/>
        <v>Perishable</v>
      </c>
      <c r="I41" s="25" t="s">
        <v>115</v>
      </c>
      <c r="J41" s="25" t="str">
        <f t="shared" si="8"/>
        <v>Platinum</v>
      </c>
      <c r="K41" s="25">
        <v>8</v>
      </c>
      <c r="L41" s="26">
        <f t="shared" si="1"/>
        <v>89999</v>
      </c>
      <c r="M41" s="32">
        <f t="shared" si="6"/>
        <v>0.02</v>
      </c>
      <c r="N41" s="25" t="str">
        <f t="shared" si="9"/>
        <v>25 Point</v>
      </c>
      <c r="O41" s="26">
        <f t="shared" si="3"/>
        <v>718192.02</v>
      </c>
    </row>
    <row r="42" spans="1:26" ht="17" x14ac:dyDescent="0.2">
      <c r="A42" s="22">
        <v>39</v>
      </c>
      <c r="B42" s="23">
        <v>44963</v>
      </c>
      <c r="C42" s="24" t="s">
        <v>118</v>
      </c>
      <c r="D42" s="24" t="s">
        <v>16</v>
      </c>
      <c r="E42" s="25" t="s">
        <v>22</v>
      </c>
      <c r="F42" s="25" t="s">
        <v>55</v>
      </c>
      <c r="G42" s="25" t="s">
        <v>110</v>
      </c>
      <c r="H42" s="25" t="str">
        <f t="shared" si="7"/>
        <v>Perishable</v>
      </c>
      <c r="I42" s="25" t="s">
        <v>32</v>
      </c>
      <c r="J42" s="25" t="str">
        <f t="shared" si="8"/>
        <v>Silver</v>
      </c>
      <c r="K42" s="25">
        <v>7</v>
      </c>
      <c r="L42" s="26">
        <f t="shared" si="1"/>
        <v>25500</v>
      </c>
      <c r="M42" s="32">
        <f t="shared" si="6"/>
        <v>0.02</v>
      </c>
      <c r="N42" s="25" t="str">
        <f t="shared" si="9"/>
        <v>5 Point</v>
      </c>
      <c r="O42" s="26">
        <f t="shared" si="3"/>
        <v>177990</v>
      </c>
    </row>
    <row r="43" spans="1:26" ht="17" x14ac:dyDescent="0.2">
      <c r="A43" s="22">
        <v>40</v>
      </c>
      <c r="B43" s="23">
        <v>44963</v>
      </c>
      <c r="C43" s="24" t="s">
        <v>119</v>
      </c>
      <c r="D43" s="24" t="s">
        <v>16</v>
      </c>
      <c r="E43" s="25" t="s">
        <v>22</v>
      </c>
      <c r="F43" s="25" t="s">
        <v>74</v>
      </c>
      <c r="G43" s="25" t="s">
        <v>110</v>
      </c>
      <c r="H43" s="25" t="str">
        <f t="shared" si="7"/>
        <v>Perishable</v>
      </c>
      <c r="I43" s="25" t="s">
        <v>32</v>
      </c>
      <c r="J43" s="25" t="str">
        <f t="shared" si="8"/>
        <v>Platinum</v>
      </c>
      <c r="K43" s="25">
        <v>7</v>
      </c>
      <c r="L43" s="26">
        <f t="shared" si="1"/>
        <v>25500</v>
      </c>
      <c r="M43" s="32">
        <f t="shared" si="6"/>
        <v>0.02</v>
      </c>
      <c r="N43" s="25" t="str">
        <f t="shared" si="9"/>
        <v>25 Point</v>
      </c>
      <c r="O43" s="26">
        <f t="shared" si="3"/>
        <v>177990</v>
      </c>
    </row>
    <row r="44" spans="1:26" ht="17" x14ac:dyDescent="0.2">
      <c r="A44" s="22">
        <v>41</v>
      </c>
      <c r="B44" s="23">
        <v>44963</v>
      </c>
      <c r="C44" s="24" t="s">
        <v>120</v>
      </c>
      <c r="D44" s="24" t="s">
        <v>16</v>
      </c>
      <c r="E44" s="25" t="s">
        <v>48</v>
      </c>
      <c r="F44" s="25" t="s">
        <v>76</v>
      </c>
      <c r="G44" s="25" t="s">
        <v>19</v>
      </c>
      <c r="H44" s="25" t="str">
        <f t="shared" si="7"/>
        <v>Perishable</v>
      </c>
      <c r="I44" s="25" t="s">
        <v>32</v>
      </c>
      <c r="J44" s="25" t="str">
        <f t="shared" si="8"/>
        <v>Platinum</v>
      </c>
      <c r="K44" s="25">
        <v>5</v>
      </c>
      <c r="L44" s="26">
        <f t="shared" si="1"/>
        <v>25500</v>
      </c>
      <c r="M44" s="32">
        <f t="shared" si="6"/>
        <v>0.02</v>
      </c>
      <c r="N44" s="25" t="str">
        <f t="shared" si="9"/>
        <v>25 Point</v>
      </c>
      <c r="O44" s="26">
        <f t="shared" si="3"/>
        <v>126990</v>
      </c>
    </row>
    <row r="45" spans="1:26" ht="17" x14ac:dyDescent="0.2">
      <c r="A45" s="22">
        <v>42</v>
      </c>
      <c r="B45" s="23">
        <v>44963</v>
      </c>
      <c r="C45" s="24" t="s">
        <v>121</v>
      </c>
      <c r="D45" s="24" t="s">
        <v>16</v>
      </c>
      <c r="E45" s="25" t="s">
        <v>48</v>
      </c>
      <c r="F45" s="25" t="s">
        <v>74</v>
      </c>
      <c r="G45" s="25" t="s">
        <v>19</v>
      </c>
      <c r="H45" s="25" t="str">
        <f t="shared" si="7"/>
        <v>Perishable</v>
      </c>
      <c r="I45" s="25" t="s">
        <v>32</v>
      </c>
      <c r="J45" s="25" t="str">
        <f t="shared" si="8"/>
        <v>Platinum</v>
      </c>
      <c r="K45" s="25">
        <v>4</v>
      </c>
      <c r="L45" s="26">
        <f t="shared" si="1"/>
        <v>25500</v>
      </c>
      <c r="M45" s="32">
        <f t="shared" si="6"/>
        <v>0.02</v>
      </c>
      <c r="N45" s="25" t="str">
        <f t="shared" si="9"/>
        <v>25 Point</v>
      </c>
      <c r="O45" s="26">
        <f t="shared" si="3"/>
        <v>101490</v>
      </c>
    </row>
    <row r="46" spans="1:26" ht="17" x14ac:dyDescent="0.2">
      <c r="A46" s="22">
        <v>43</v>
      </c>
      <c r="B46" s="23">
        <v>44964</v>
      </c>
      <c r="C46" s="24" t="s">
        <v>122</v>
      </c>
      <c r="D46" s="24" t="s">
        <v>34</v>
      </c>
      <c r="E46" s="25" t="s">
        <v>48</v>
      </c>
      <c r="F46" s="25" t="s">
        <v>76</v>
      </c>
      <c r="G46" s="25" t="s">
        <v>80</v>
      </c>
      <c r="H46" s="25" t="str">
        <f t="shared" si="7"/>
        <v>General Merchandise Product</v>
      </c>
      <c r="I46" s="25" t="s">
        <v>72</v>
      </c>
      <c r="J46" s="25" t="str">
        <f t="shared" si="8"/>
        <v>Platinum</v>
      </c>
      <c r="K46" s="25">
        <v>6</v>
      </c>
      <c r="L46" s="26">
        <f t="shared" si="1"/>
        <v>110500</v>
      </c>
      <c r="M46" s="32">
        <f t="shared" si="6"/>
        <v>0.02</v>
      </c>
      <c r="N46" s="25" t="str">
        <f t="shared" si="9"/>
        <v>25 Point</v>
      </c>
      <c r="O46" s="26">
        <f t="shared" si="3"/>
        <v>660790</v>
      </c>
    </row>
    <row r="47" spans="1:26" ht="17" x14ac:dyDescent="0.2">
      <c r="A47" s="22">
        <v>44</v>
      </c>
      <c r="B47" s="23">
        <v>44964</v>
      </c>
      <c r="C47" s="24" t="s">
        <v>123</v>
      </c>
      <c r="D47" s="24" t="s">
        <v>16</v>
      </c>
      <c r="E47" s="25" t="s">
        <v>48</v>
      </c>
      <c r="F47" s="25" t="s">
        <v>74</v>
      </c>
      <c r="G47" s="25" t="s">
        <v>61</v>
      </c>
      <c r="H47" s="25" t="str">
        <f t="shared" si="7"/>
        <v>General Merchandise Product</v>
      </c>
      <c r="I47" s="25" t="s">
        <v>78</v>
      </c>
      <c r="J47" s="25" t="str">
        <f t="shared" si="8"/>
        <v>Platinum</v>
      </c>
      <c r="K47" s="25">
        <v>8</v>
      </c>
      <c r="L47" s="26">
        <f t="shared" si="1"/>
        <v>135500</v>
      </c>
      <c r="M47" s="32">
        <f t="shared" si="6"/>
        <v>0.02</v>
      </c>
      <c r="N47" s="25" t="str">
        <f t="shared" si="9"/>
        <v>25 Point</v>
      </c>
      <c r="O47" s="26">
        <f t="shared" si="3"/>
        <v>1081290</v>
      </c>
    </row>
    <row r="48" spans="1:26" ht="17" x14ac:dyDescent="0.2">
      <c r="A48" s="22">
        <v>45</v>
      </c>
      <c r="B48" s="23">
        <v>44964</v>
      </c>
      <c r="C48" s="24" t="s">
        <v>124</v>
      </c>
      <c r="D48" s="24" t="s">
        <v>16</v>
      </c>
      <c r="E48" s="25" t="s">
        <v>48</v>
      </c>
      <c r="F48" s="25" t="s">
        <v>76</v>
      </c>
      <c r="G48" s="25" t="s">
        <v>59</v>
      </c>
      <c r="H48" s="25" t="str">
        <f t="shared" si="7"/>
        <v>Food Product</v>
      </c>
      <c r="I48" s="25" t="s">
        <v>125</v>
      </c>
      <c r="J48" s="25" t="str">
        <f t="shared" si="8"/>
        <v>Platinum</v>
      </c>
      <c r="K48" s="25">
        <v>8</v>
      </c>
      <c r="L48" s="26">
        <f t="shared" si="1"/>
        <v>175000</v>
      </c>
      <c r="M48" s="32">
        <f t="shared" si="6"/>
        <v>0.02</v>
      </c>
      <c r="N48" s="25" t="str">
        <f t="shared" si="9"/>
        <v>25 Point</v>
      </c>
      <c r="O48" s="26">
        <f t="shared" si="3"/>
        <v>1396500</v>
      </c>
    </row>
    <row r="49" spans="1:15" ht="17" x14ac:dyDescent="0.2">
      <c r="A49" s="22">
        <v>46</v>
      </c>
      <c r="B49" s="23">
        <v>44964</v>
      </c>
      <c r="C49" s="24" t="s">
        <v>126</v>
      </c>
      <c r="D49" s="24" t="s">
        <v>34</v>
      </c>
      <c r="E49" s="25" t="s">
        <v>17</v>
      </c>
      <c r="F49" s="25" t="s">
        <v>30</v>
      </c>
      <c r="G49" s="25" t="s">
        <v>88</v>
      </c>
      <c r="H49" s="25" t="str">
        <f t="shared" si="7"/>
        <v>Food Product</v>
      </c>
      <c r="I49" s="25" t="s">
        <v>127</v>
      </c>
      <c r="J49" s="25" t="str">
        <f t="shared" si="8"/>
        <v>Gold</v>
      </c>
      <c r="K49" s="25">
        <v>9</v>
      </c>
      <c r="L49" s="26">
        <f t="shared" si="1"/>
        <v>65000</v>
      </c>
      <c r="M49" s="32">
        <f t="shared" si="6"/>
        <v>0.03</v>
      </c>
      <c r="N49" s="25" t="str">
        <f t="shared" si="9"/>
        <v>5 Point</v>
      </c>
      <c r="O49" s="26">
        <f t="shared" si="3"/>
        <v>583050</v>
      </c>
    </row>
    <row r="50" spans="1:15" ht="17" x14ac:dyDescent="0.2">
      <c r="A50" s="22">
        <v>47</v>
      </c>
      <c r="B50" s="23">
        <v>44964</v>
      </c>
      <c r="C50" s="24" t="s">
        <v>128</v>
      </c>
      <c r="D50" s="24" t="s">
        <v>16</v>
      </c>
      <c r="E50" s="25" t="s">
        <v>17</v>
      </c>
      <c r="F50" s="25" t="s">
        <v>55</v>
      </c>
      <c r="G50" s="25" t="s">
        <v>56</v>
      </c>
      <c r="H50" s="25" t="str">
        <f t="shared" si="7"/>
        <v>Food Product</v>
      </c>
      <c r="I50" s="25" t="s">
        <v>127</v>
      </c>
      <c r="J50" s="25" t="str">
        <f t="shared" si="8"/>
        <v>Silver</v>
      </c>
      <c r="K50" s="25">
        <v>11</v>
      </c>
      <c r="L50" s="26">
        <f t="shared" si="1"/>
        <v>65000</v>
      </c>
      <c r="M50" s="32">
        <f t="shared" si="6"/>
        <v>0.03</v>
      </c>
      <c r="N50" s="25" t="str">
        <f t="shared" si="9"/>
        <v>5 Point</v>
      </c>
      <c r="O50" s="26">
        <f t="shared" si="3"/>
        <v>713050</v>
      </c>
    </row>
    <row r="51" spans="1:15" ht="17" x14ac:dyDescent="0.2">
      <c r="A51" s="22">
        <v>48</v>
      </c>
      <c r="B51" s="23">
        <v>44964</v>
      </c>
      <c r="C51" s="24" t="s">
        <v>129</v>
      </c>
      <c r="D51" s="24" t="s">
        <v>34</v>
      </c>
      <c r="E51" s="25" t="s">
        <v>17</v>
      </c>
      <c r="F51" s="25" t="s">
        <v>130</v>
      </c>
      <c r="G51" s="25" t="s">
        <v>56</v>
      </c>
      <c r="H51" s="25" t="str">
        <f t="shared" si="7"/>
        <v>Food Product</v>
      </c>
      <c r="I51" s="25" t="s">
        <v>131</v>
      </c>
      <c r="J51" s="25" t="str">
        <f t="shared" si="8"/>
        <v>Gold</v>
      </c>
      <c r="K51" s="25">
        <v>10</v>
      </c>
      <c r="L51" s="26">
        <f t="shared" si="1"/>
        <v>90000</v>
      </c>
      <c r="M51" s="32">
        <f t="shared" si="6"/>
        <v>0.03</v>
      </c>
      <c r="N51" s="25" t="str">
        <f t="shared" si="9"/>
        <v>15 Point</v>
      </c>
      <c r="O51" s="26">
        <f t="shared" si="3"/>
        <v>897300</v>
      </c>
    </row>
    <row r="52" spans="1:15" ht="17" x14ac:dyDescent="0.2">
      <c r="A52" s="22">
        <v>49</v>
      </c>
      <c r="B52" s="23">
        <v>44964</v>
      </c>
      <c r="C52" s="24" t="s">
        <v>132</v>
      </c>
      <c r="D52" s="24" t="s">
        <v>34</v>
      </c>
      <c r="E52" s="25" t="s">
        <v>17</v>
      </c>
      <c r="F52" s="25" t="s">
        <v>55</v>
      </c>
      <c r="G52" s="25" t="s">
        <v>56</v>
      </c>
      <c r="H52" s="25" t="str">
        <f t="shared" si="7"/>
        <v>Food Product</v>
      </c>
      <c r="I52" s="25" t="s">
        <v>133</v>
      </c>
      <c r="J52" s="25" t="str">
        <f t="shared" si="8"/>
        <v>Silver</v>
      </c>
      <c r="K52" s="25">
        <v>9</v>
      </c>
      <c r="L52" s="26">
        <f t="shared" si="1"/>
        <v>95000</v>
      </c>
      <c r="M52" s="32">
        <f t="shared" ref="M52:M83" si="10">IF(K52&gt;8,3%,2%)</f>
        <v>0.03</v>
      </c>
      <c r="N52" s="25" t="str">
        <f t="shared" si="9"/>
        <v>5 Point</v>
      </c>
      <c r="O52" s="26">
        <f t="shared" si="3"/>
        <v>852150</v>
      </c>
    </row>
    <row r="53" spans="1:15" ht="17" x14ac:dyDescent="0.2">
      <c r="A53" s="22">
        <v>50</v>
      </c>
      <c r="B53" s="23">
        <v>44965</v>
      </c>
      <c r="C53" s="24" t="s">
        <v>134</v>
      </c>
      <c r="D53" s="24" t="s">
        <v>16</v>
      </c>
      <c r="E53" s="25" t="s">
        <v>17</v>
      </c>
      <c r="F53" s="25" t="s">
        <v>43</v>
      </c>
      <c r="G53" s="25" t="s">
        <v>52</v>
      </c>
      <c r="H53" s="25" t="str">
        <f t="shared" si="7"/>
        <v>Food Product</v>
      </c>
      <c r="I53" s="25" t="s">
        <v>133</v>
      </c>
      <c r="J53" s="25" t="str">
        <f t="shared" si="8"/>
        <v>Gold</v>
      </c>
      <c r="K53" s="25">
        <v>5</v>
      </c>
      <c r="L53" s="26">
        <f>INDEX($Z$8:$Z$37,MATCH(I53,$Y$8:$Y$37,0))</f>
        <v>95000</v>
      </c>
      <c r="M53" s="32">
        <f t="shared" si="10"/>
        <v>0.02</v>
      </c>
      <c r="N53" s="25" t="str">
        <f t="shared" si="9"/>
        <v>15 Point</v>
      </c>
      <c r="O53" s="26">
        <f t="shared" si="3"/>
        <v>473100</v>
      </c>
    </row>
    <row r="54" spans="1:15" ht="17" x14ac:dyDescent="0.2">
      <c r="A54" s="22">
        <v>51</v>
      </c>
      <c r="B54" s="23">
        <v>44965</v>
      </c>
      <c r="C54" s="24" t="s">
        <v>135</v>
      </c>
      <c r="D54" s="24" t="s">
        <v>34</v>
      </c>
      <c r="E54" s="25" t="s">
        <v>17</v>
      </c>
      <c r="F54" s="25" t="s">
        <v>45</v>
      </c>
      <c r="G54" s="25" t="s">
        <v>52</v>
      </c>
      <c r="H54" s="25" t="str">
        <f t="shared" si="7"/>
        <v>Food Product</v>
      </c>
      <c r="I54" s="25" t="s">
        <v>133</v>
      </c>
      <c r="J54" s="25" t="str">
        <f t="shared" si="8"/>
        <v>Silver</v>
      </c>
      <c r="K54" s="25">
        <v>5</v>
      </c>
      <c r="L54" s="26">
        <f t="shared" si="1"/>
        <v>95000</v>
      </c>
      <c r="M54" s="32">
        <f t="shared" si="10"/>
        <v>0.02</v>
      </c>
      <c r="N54" s="25" t="str">
        <f t="shared" si="9"/>
        <v>15 Point</v>
      </c>
      <c r="O54" s="26">
        <f t="shared" si="3"/>
        <v>473100</v>
      </c>
    </row>
    <row r="55" spans="1:15" ht="17" x14ac:dyDescent="0.2">
      <c r="A55" s="22">
        <v>52</v>
      </c>
      <c r="B55" s="23">
        <v>44965</v>
      </c>
      <c r="C55" s="24" t="s">
        <v>136</v>
      </c>
      <c r="D55" s="24" t="s">
        <v>16</v>
      </c>
      <c r="E55" s="25" t="s">
        <v>17</v>
      </c>
      <c r="F55" s="25" t="s">
        <v>49</v>
      </c>
      <c r="G55" s="25" t="s">
        <v>103</v>
      </c>
      <c r="H55" s="25" t="str">
        <f t="shared" si="7"/>
        <v>Non Food Product</v>
      </c>
      <c r="I55" s="25" t="s">
        <v>137</v>
      </c>
      <c r="J55" s="25" t="str">
        <f t="shared" si="8"/>
        <v>Silver</v>
      </c>
      <c r="K55" s="25">
        <v>3</v>
      </c>
      <c r="L55" s="26">
        <f t="shared" si="1"/>
        <v>115000</v>
      </c>
      <c r="M55" s="32">
        <f t="shared" si="10"/>
        <v>0.02</v>
      </c>
      <c r="N55" s="25" t="str">
        <f t="shared" si="9"/>
        <v>5 Point</v>
      </c>
      <c r="O55" s="26">
        <f t="shared" si="3"/>
        <v>342700</v>
      </c>
    </row>
    <row r="56" spans="1:15" ht="17" x14ac:dyDescent="0.2">
      <c r="A56" s="22">
        <v>53</v>
      </c>
      <c r="B56" s="23">
        <v>44965</v>
      </c>
      <c r="C56" s="24" t="s">
        <v>138</v>
      </c>
      <c r="D56" s="24" t="s">
        <v>16</v>
      </c>
      <c r="E56" s="25" t="s">
        <v>17</v>
      </c>
      <c r="F56" s="25" t="s">
        <v>51</v>
      </c>
      <c r="G56" s="25" t="s">
        <v>103</v>
      </c>
      <c r="H56" s="25" t="str">
        <f t="shared" si="7"/>
        <v>Non Food Product</v>
      </c>
      <c r="I56" s="25" t="s">
        <v>137</v>
      </c>
      <c r="J56" s="25" t="str">
        <f t="shared" si="8"/>
        <v>Silver</v>
      </c>
      <c r="K56" s="25">
        <v>2</v>
      </c>
      <c r="L56" s="26">
        <f t="shared" si="1"/>
        <v>115000</v>
      </c>
      <c r="M56" s="32">
        <f t="shared" si="10"/>
        <v>0.02</v>
      </c>
      <c r="N56" s="25" t="str">
        <f t="shared" si="9"/>
        <v>20 Point</v>
      </c>
      <c r="O56" s="26">
        <f t="shared" si="3"/>
        <v>227700</v>
      </c>
    </row>
    <row r="57" spans="1:15" ht="17" x14ac:dyDescent="0.2">
      <c r="A57" s="22">
        <v>54</v>
      </c>
      <c r="B57" s="23">
        <v>44965</v>
      </c>
      <c r="C57" s="24" t="s">
        <v>139</v>
      </c>
      <c r="D57" s="24" t="s">
        <v>34</v>
      </c>
      <c r="E57" s="25" t="s">
        <v>17</v>
      </c>
      <c r="F57" s="25" t="s">
        <v>55</v>
      </c>
      <c r="G57" s="25" t="s">
        <v>19</v>
      </c>
      <c r="H57" s="25" t="str">
        <f t="shared" si="7"/>
        <v>Perishable</v>
      </c>
      <c r="I57" s="25" t="s">
        <v>111</v>
      </c>
      <c r="J57" s="25" t="str">
        <f t="shared" si="8"/>
        <v>Silver</v>
      </c>
      <c r="K57" s="25">
        <v>2</v>
      </c>
      <c r="L57" s="26">
        <f t="shared" si="1"/>
        <v>45555</v>
      </c>
      <c r="M57" s="32">
        <f t="shared" si="10"/>
        <v>0.02</v>
      </c>
      <c r="N57" s="25" t="str">
        <f t="shared" si="9"/>
        <v>5 Point</v>
      </c>
      <c r="O57" s="26">
        <f t="shared" si="3"/>
        <v>90198.9</v>
      </c>
    </row>
    <row r="58" spans="1:15" ht="17" x14ac:dyDescent="0.2">
      <c r="A58" s="22">
        <v>55</v>
      </c>
      <c r="B58" s="23">
        <v>44965</v>
      </c>
      <c r="C58" s="24" t="s">
        <v>140</v>
      </c>
      <c r="D58" s="24" t="s">
        <v>16</v>
      </c>
      <c r="E58" s="25" t="s">
        <v>17</v>
      </c>
      <c r="F58" s="25" t="s">
        <v>58</v>
      </c>
      <c r="G58" s="25" t="s">
        <v>31</v>
      </c>
      <c r="H58" s="25" t="str">
        <f t="shared" si="7"/>
        <v>Perishable</v>
      </c>
      <c r="I58" s="25" t="s">
        <v>111</v>
      </c>
      <c r="J58" s="25" t="str">
        <f t="shared" si="8"/>
        <v>Silver</v>
      </c>
      <c r="K58" s="25">
        <v>2</v>
      </c>
      <c r="L58" s="26">
        <f t="shared" si="1"/>
        <v>45555</v>
      </c>
      <c r="M58" s="32">
        <f t="shared" si="10"/>
        <v>0.02</v>
      </c>
      <c r="N58" s="25" t="str">
        <f t="shared" si="9"/>
        <v>10 Point</v>
      </c>
      <c r="O58" s="26">
        <f t="shared" si="3"/>
        <v>90198.9</v>
      </c>
    </row>
    <row r="59" spans="1:15" ht="17" x14ac:dyDescent="0.2">
      <c r="A59" s="22">
        <v>56</v>
      </c>
      <c r="B59" s="23">
        <v>44965</v>
      </c>
      <c r="C59" s="24" t="s">
        <v>141</v>
      </c>
      <c r="D59" s="24" t="s">
        <v>16</v>
      </c>
      <c r="E59" s="25" t="s">
        <v>17</v>
      </c>
      <c r="F59" s="25" t="s">
        <v>30</v>
      </c>
      <c r="G59" s="25" t="s">
        <v>36</v>
      </c>
      <c r="H59" s="25" t="str">
        <f t="shared" si="7"/>
        <v>Non Food Product</v>
      </c>
      <c r="I59" s="25" t="s">
        <v>104</v>
      </c>
      <c r="J59" s="25" t="str">
        <f t="shared" si="8"/>
        <v>Gold</v>
      </c>
      <c r="K59" s="25">
        <v>4</v>
      </c>
      <c r="L59" s="26">
        <f t="shared" si="1"/>
        <v>225000</v>
      </c>
      <c r="M59" s="32">
        <f t="shared" si="10"/>
        <v>0.02</v>
      </c>
      <c r="N59" s="25" t="str">
        <f t="shared" si="9"/>
        <v>5 Point</v>
      </c>
      <c r="O59" s="26">
        <f t="shared" si="3"/>
        <v>895500</v>
      </c>
    </row>
    <row r="60" spans="1:15" ht="17" x14ac:dyDescent="0.2">
      <c r="A60" s="22">
        <v>57</v>
      </c>
      <c r="B60" s="23">
        <v>44965</v>
      </c>
      <c r="C60" s="24" t="s">
        <v>142</v>
      </c>
      <c r="D60" s="24" t="s">
        <v>16</v>
      </c>
      <c r="E60" s="25" t="s">
        <v>17</v>
      </c>
      <c r="F60" s="25" t="s">
        <v>69</v>
      </c>
      <c r="G60" s="25" t="s">
        <v>40</v>
      </c>
      <c r="H60" s="25" t="str">
        <f t="shared" si="7"/>
        <v>Non Food Product</v>
      </c>
      <c r="I60" s="25" t="s">
        <v>37</v>
      </c>
      <c r="J60" s="25" t="str">
        <f t="shared" si="8"/>
        <v>Gold</v>
      </c>
      <c r="K60" s="25">
        <v>5</v>
      </c>
      <c r="L60" s="26">
        <f t="shared" si="1"/>
        <v>195000</v>
      </c>
      <c r="M60" s="32">
        <f t="shared" si="10"/>
        <v>0.02</v>
      </c>
      <c r="N60" s="25" t="str">
        <f t="shared" si="9"/>
        <v>15 Point</v>
      </c>
      <c r="O60" s="26">
        <f t="shared" si="3"/>
        <v>971100</v>
      </c>
    </row>
    <row r="61" spans="1:15" ht="17" x14ac:dyDescent="0.2">
      <c r="A61" s="22">
        <v>58</v>
      </c>
      <c r="B61" s="23">
        <v>44965</v>
      </c>
      <c r="C61" s="24" t="s">
        <v>143</v>
      </c>
      <c r="D61" s="24" t="s">
        <v>34</v>
      </c>
      <c r="E61" s="25" t="s">
        <v>17</v>
      </c>
      <c r="F61" s="25" t="s">
        <v>71</v>
      </c>
      <c r="G61" s="25" t="s">
        <v>40</v>
      </c>
      <c r="H61" s="25" t="str">
        <f t="shared" si="7"/>
        <v>Non Food Product</v>
      </c>
      <c r="I61" s="25" t="s">
        <v>37</v>
      </c>
      <c r="J61" s="25" t="str">
        <f t="shared" si="8"/>
        <v>Gold</v>
      </c>
      <c r="K61" s="25">
        <v>5</v>
      </c>
      <c r="L61" s="26">
        <f t="shared" si="1"/>
        <v>195000</v>
      </c>
      <c r="M61" s="32">
        <f t="shared" si="10"/>
        <v>0.02</v>
      </c>
      <c r="N61" s="25" t="str">
        <f t="shared" si="9"/>
        <v>5 Point</v>
      </c>
      <c r="O61" s="26">
        <f t="shared" si="3"/>
        <v>971100</v>
      </c>
    </row>
    <row r="62" spans="1:15" ht="17" x14ac:dyDescent="0.2">
      <c r="A62" s="22">
        <v>59</v>
      </c>
      <c r="B62" s="23">
        <v>44965</v>
      </c>
      <c r="C62" s="24" t="s">
        <v>144</v>
      </c>
      <c r="D62" s="24" t="s">
        <v>16</v>
      </c>
      <c r="E62" s="25" t="s">
        <v>17</v>
      </c>
      <c r="F62" s="25" t="s">
        <v>74</v>
      </c>
      <c r="G62" s="25" t="s">
        <v>46</v>
      </c>
      <c r="H62" s="25" t="str">
        <f t="shared" si="7"/>
        <v>Non Food Product</v>
      </c>
      <c r="I62" s="25" t="s">
        <v>37</v>
      </c>
      <c r="J62" s="25" t="str">
        <f t="shared" si="8"/>
        <v>Platinum</v>
      </c>
      <c r="K62" s="25">
        <v>7</v>
      </c>
      <c r="L62" s="26">
        <f t="shared" si="1"/>
        <v>195000</v>
      </c>
      <c r="M62" s="32">
        <f t="shared" si="10"/>
        <v>0.02</v>
      </c>
      <c r="N62" s="25" t="str">
        <f t="shared" si="9"/>
        <v>25 Point</v>
      </c>
      <c r="O62" s="26">
        <f t="shared" si="3"/>
        <v>1361100</v>
      </c>
    </row>
    <row r="63" spans="1:15" ht="17" x14ac:dyDescent="0.2">
      <c r="A63" s="22">
        <v>60</v>
      </c>
      <c r="B63" s="23">
        <v>44965</v>
      </c>
      <c r="C63" s="24" t="s">
        <v>145</v>
      </c>
      <c r="D63" s="24" t="s">
        <v>16</v>
      </c>
      <c r="E63" s="25" t="s">
        <v>17</v>
      </c>
      <c r="F63" s="25" t="s">
        <v>76</v>
      </c>
      <c r="G63" s="25" t="s">
        <v>36</v>
      </c>
      <c r="H63" s="25" t="str">
        <f t="shared" si="7"/>
        <v>Non Food Product</v>
      </c>
      <c r="I63" s="25" t="s">
        <v>104</v>
      </c>
      <c r="J63" s="25" t="str">
        <f t="shared" si="8"/>
        <v>Platinum</v>
      </c>
      <c r="K63" s="25">
        <v>7</v>
      </c>
      <c r="L63" s="26">
        <f t="shared" si="1"/>
        <v>225000</v>
      </c>
      <c r="M63" s="32">
        <f t="shared" si="10"/>
        <v>0.02</v>
      </c>
      <c r="N63" s="25" t="str">
        <f t="shared" si="9"/>
        <v>25 Point</v>
      </c>
      <c r="O63" s="26">
        <f t="shared" si="3"/>
        <v>1570500</v>
      </c>
    </row>
    <row r="64" spans="1:15" ht="17" x14ac:dyDescent="0.2">
      <c r="A64" s="22">
        <v>61</v>
      </c>
      <c r="B64" s="23">
        <v>44965</v>
      </c>
      <c r="C64" s="24" t="s">
        <v>146</v>
      </c>
      <c r="D64" s="24" t="s">
        <v>34</v>
      </c>
      <c r="E64" s="25" t="s">
        <v>17</v>
      </c>
      <c r="F64" s="25" t="s">
        <v>30</v>
      </c>
      <c r="G64" s="25" t="s">
        <v>52</v>
      </c>
      <c r="H64" s="25" t="str">
        <f t="shared" si="7"/>
        <v>Food Product</v>
      </c>
      <c r="I64" s="25" t="s">
        <v>147</v>
      </c>
      <c r="J64" s="25" t="str">
        <f t="shared" si="8"/>
        <v>Gold</v>
      </c>
      <c r="K64" s="25">
        <v>7</v>
      </c>
      <c r="L64" s="26">
        <f t="shared" si="1"/>
        <v>125000</v>
      </c>
      <c r="M64" s="32">
        <f t="shared" si="10"/>
        <v>0.02</v>
      </c>
      <c r="N64" s="25" t="str">
        <f t="shared" si="9"/>
        <v>5 Point</v>
      </c>
      <c r="O64" s="26">
        <f t="shared" si="3"/>
        <v>872500</v>
      </c>
    </row>
    <row r="65" spans="1:15" ht="17" x14ac:dyDescent="0.2">
      <c r="A65" s="22">
        <v>62</v>
      </c>
      <c r="B65" s="23">
        <v>44966</v>
      </c>
      <c r="C65" s="24" t="s">
        <v>148</v>
      </c>
      <c r="D65" s="24" t="s">
        <v>16</v>
      </c>
      <c r="E65" s="25" t="s">
        <v>17</v>
      </c>
      <c r="F65" s="25" t="s">
        <v>82</v>
      </c>
      <c r="G65" s="25" t="s">
        <v>56</v>
      </c>
      <c r="H65" s="25" t="str">
        <f t="shared" si="7"/>
        <v>Food Product</v>
      </c>
      <c r="I65" s="25" t="s">
        <v>99</v>
      </c>
      <c r="J65" s="25" t="str">
        <f t="shared" si="8"/>
        <v>Gold</v>
      </c>
      <c r="K65" s="25">
        <v>8</v>
      </c>
      <c r="L65" s="26">
        <f t="shared" si="1"/>
        <v>185000</v>
      </c>
      <c r="M65" s="32">
        <f t="shared" si="10"/>
        <v>0.02</v>
      </c>
      <c r="N65" s="25" t="str">
        <f t="shared" si="9"/>
        <v>25 Point</v>
      </c>
      <c r="O65" s="26">
        <f t="shared" si="3"/>
        <v>1476300</v>
      </c>
    </row>
    <row r="66" spans="1:15" ht="17" x14ac:dyDescent="0.2">
      <c r="A66" s="22">
        <v>63</v>
      </c>
      <c r="B66" s="23">
        <v>44966</v>
      </c>
      <c r="C66" s="24" t="s">
        <v>149</v>
      </c>
      <c r="D66" s="24" t="s">
        <v>16</v>
      </c>
      <c r="E66" s="25" t="s">
        <v>17</v>
      </c>
      <c r="F66" s="25" t="s">
        <v>91</v>
      </c>
      <c r="G66" s="25" t="s">
        <v>59</v>
      </c>
      <c r="H66" s="25" t="str">
        <f t="shared" si="7"/>
        <v>Food Product</v>
      </c>
      <c r="I66" s="25" t="s">
        <v>99</v>
      </c>
      <c r="J66" s="25" t="str">
        <f t="shared" si="8"/>
        <v>Gold</v>
      </c>
      <c r="K66" s="25">
        <v>8</v>
      </c>
      <c r="L66" s="26">
        <f t="shared" si="1"/>
        <v>185000</v>
      </c>
      <c r="M66" s="32">
        <f t="shared" si="10"/>
        <v>0.02</v>
      </c>
      <c r="N66" s="25" t="str">
        <f t="shared" si="9"/>
        <v>10 Point</v>
      </c>
      <c r="O66" s="26">
        <f t="shared" si="3"/>
        <v>1476300</v>
      </c>
    </row>
    <row r="67" spans="1:15" ht="17" x14ac:dyDescent="0.2">
      <c r="A67" s="22">
        <v>64</v>
      </c>
      <c r="B67" s="23">
        <v>44966</v>
      </c>
      <c r="C67" s="24" t="s">
        <v>150</v>
      </c>
      <c r="D67" s="24" t="s">
        <v>34</v>
      </c>
      <c r="E67" s="25" t="s">
        <v>17</v>
      </c>
      <c r="F67" s="25" t="s">
        <v>94</v>
      </c>
      <c r="G67" s="25" t="s">
        <v>61</v>
      </c>
      <c r="H67" s="25" t="str">
        <f t="shared" si="7"/>
        <v>General Merchandise Product</v>
      </c>
      <c r="I67" s="25" t="s">
        <v>62</v>
      </c>
      <c r="J67" s="25" t="str">
        <f t="shared" si="8"/>
        <v>Gold</v>
      </c>
      <c r="K67" s="25">
        <v>9</v>
      </c>
      <c r="L67" s="26">
        <f t="shared" si="1"/>
        <v>75000</v>
      </c>
      <c r="M67" s="32">
        <f t="shared" si="10"/>
        <v>0.03</v>
      </c>
      <c r="N67" s="25" t="str">
        <f t="shared" si="9"/>
        <v>10 Point</v>
      </c>
      <c r="O67" s="26">
        <f t="shared" si="3"/>
        <v>672750</v>
      </c>
    </row>
    <row r="68" spans="1:15" ht="17" x14ac:dyDescent="0.2">
      <c r="A68" s="22">
        <v>65</v>
      </c>
      <c r="B68" s="23">
        <v>44966</v>
      </c>
      <c r="C68" s="24" t="s">
        <v>151</v>
      </c>
      <c r="D68" s="24" t="s">
        <v>16</v>
      </c>
      <c r="E68" s="25" t="s">
        <v>17</v>
      </c>
      <c r="F68" s="25" t="s">
        <v>96</v>
      </c>
      <c r="G68" s="25" t="s">
        <v>36</v>
      </c>
      <c r="H68" s="25" t="str">
        <f t="shared" ref="H68:H99" si="11">VLOOKUP(LEFT(G68,2),Category,2,0)</f>
        <v>Non Food Product</v>
      </c>
      <c r="I68" s="25" t="s">
        <v>106</v>
      </c>
      <c r="J68" s="25" t="str">
        <f t="shared" ref="J68:J99" si="12">VLOOKUP(LEFT(F68,1),Barcode,2,0)</f>
        <v>Gold</v>
      </c>
      <c r="K68" s="25">
        <v>12</v>
      </c>
      <c r="L68" s="26">
        <f t="shared" si="1"/>
        <v>45500</v>
      </c>
      <c r="M68" s="32">
        <f t="shared" si="10"/>
        <v>0.03</v>
      </c>
      <c r="N68" s="25" t="str">
        <f t="shared" ref="N68:N99" si="13">HLOOKUP(VALUE(RIGHT(F68,2)),Point,2,0)</f>
        <v>15 Point</v>
      </c>
      <c r="O68" s="26">
        <f t="shared" si="3"/>
        <v>544635</v>
      </c>
    </row>
    <row r="69" spans="1:15" ht="17" x14ac:dyDescent="0.2">
      <c r="A69" s="22">
        <v>66</v>
      </c>
      <c r="B69" s="23">
        <v>44966</v>
      </c>
      <c r="C69" s="24" t="s">
        <v>152</v>
      </c>
      <c r="D69" s="24" t="s">
        <v>34</v>
      </c>
      <c r="E69" s="25" t="s">
        <v>48</v>
      </c>
      <c r="F69" s="25" t="s">
        <v>98</v>
      </c>
      <c r="G69" s="25" t="s">
        <v>40</v>
      </c>
      <c r="H69" s="25" t="str">
        <f t="shared" si="11"/>
        <v>Non Food Product</v>
      </c>
      <c r="I69" s="25" t="s">
        <v>41</v>
      </c>
      <c r="J69" s="25" t="str">
        <f t="shared" si="12"/>
        <v>Gold</v>
      </c>
      <c r="K69" s="25">
        <v>11</v>
      </c>
      <c r="L69" s="26">
        <f t="shared" ref="L69:L74" si="14">INDEX($Z$8:$Z$37,MATCH(I69,$Y$8:$Y$37,0))</f>
        <v>85500</v>
      </c>
      <c r="M69" s="32">
        <f t="shared" si="10"/>
        <v>0.03</v>
      </c>
      <c r="N69" s="25" t="str">
        <f t="shared" si="13"/>
        <v>25 Point</v>
      </c>
      <c r="O69" s="26">
        <f t="shared" ref="O69:O132" si="15">(K69*L69)-(L69*M69)</f>
        <v>937935</v>
      </c>
    </row>
    <row r="70" spans="1:15" ht="17" x14ac:dyDescent="0.2">
      <c r="A70" s="22">
        <v>67</v>
      </c>
      <c r="B70" s="23">
        <v>44966</v>
      </c>
      <c r="C70" s="24" t="s">
        <v>153</v>
      </c>
      <c r="D70" s="24" t="s">
        <v>16</v>
      </c>
      <c r="E70" s="25" t="s">
        <v>48</v>
      </c>
      <c r="F70" s="25" t="s">
        <v>23</v>
      </c>
      <c r="G70" s="25" t="s">
        <v>40</v>
      </c>
      <c r="H70" s="25" t="str">
        <f t="shared" si="11"/>
        <v>Non Food Product</v>
      </c>
      <c r="I70" s="25" t="s">
        <v>106</v>
      </c>
      <c r="J70" s="25" t="str">
        <f t="shared" si="12"/>
        <v>Platinum</v>
      </c>
      <c r="K70" s="25">
        <v>11</v>
      </c>
      <c r="L70" s="26">
        <f t="shared" si="14"/>
        <v>45500</v>
      </c>
      <c r="M70" s="32">
        <f t="shared" si="10"/>
        <v>0.03</v>
      </c>
      <c r="N70" s="25" t="str">
        <f t="shared" si="13"/>
        <v>20 Point</v>
      </c>
      <c r="O70" s="26">
        <f t="shared" si="15"/>
        <v>499135</v>
      </c>
    </row>
    <row r="71" spans="1:15" ht="17" x14ac:dyDescent="0.2">
      <c r="A71" s="22">
        <v>68</v>
      </c>
      <c r="B71" s="23">
        <v>44966</v>
      </c>
      <c r="C71" s="24" t="s">
        <v>154</v>
      </c>
      <c r="D71" s="24" t="s">
        <v>16</v>
      </c>
      <c r="E71" s="25" t="s">
        <v>48</v>
      </c>
      <c r="F71" s="25" t="s">
        <v>28</v>
      </c>
      <c r="G71" s="25" t="s">
        <v>46</v>
      </c>
      <c r="H71" s="25" t="str">
        <f t="shared" si="11"/>
        <v>Non Food Product</v>
      </c>
      <c r="I71" s="25" t="s">
        <v>106</v>
      </c>
      <c r="J71" s="25" t="str">
        <f t="shared" si="12"/>
        <v>Platinum</v>
      </c>
      <c r="K71" s="25">
        <v>15</v>
      </c>
      <c r="L71" s="26">
        <f t="shared" si="14"/>
        <v>45500</v>
      </c>
      <c r="M71" s="32">
        <f t="shared" si="10"/>
        <v>0.03</v>
      </c>
      <c r="N71" s="25" t="str">
        <f t="shared" si="13"/>
        <v>20 Point</v>
      </c>
      <c r="O71" s="26">
        <f t="shared" si="15"/>
        <v>681135</v>
      </c>
    </row>
    <row r="72" spans="1:15" ht="17" x14ac:dyDescent="0.2">
      <c r="A72" s="22">
        <v>69</v>
      </c>
      <c r="B72" s="23">
        <v>44967</v>
      </c>
      <c r="C72" s="24" t="s">
        <v>155</v>
      </c>
      <c r="D72" s="24" t="s">
        <v>16</v>
      </c>
      <c r="E72" s="25" t="s">
        <v>48</v>
      </c>
      <c r="F72" s="25" t="s">
        <v>74</v>
      </c>
      <c r="G72" s="25" t="s">
        <v>36</v>
      </c>
      <c r="H72" s="25" t="str">
        <f t="shared" si="11"/>
        <v>Non Food Product</v>
      </c>
      <c r="I72" s="25" t="s">
        <v>41</v>
      </c>
      <c r="J72" s="25" t="str">
        <f t="shared" si="12"/>
        <v>Platinum</v>
      </c>
      <c r="K72" s="25">
        <v>13</v>
      </c>
      <c r="L72" s="26">
        <f t="shared" si="14"/>
        <v>85500</v>
      </c>
      <c r="M72" s="32">
        <f t="shared" si="10"/>
        <v>0.03</v>
      </c>
      <c r="N72" s="25" t="str">
        <f t="shared" si="13"/>
        <v>25 Point</v>
      </c>
      <c r="O72" s="26">
        <f t="shared" si="15"/>
        <v>1108935</v>
      </c>
    </row>
    <row r="73" spans="1:15" ht="17" x14ac:dyDescent="0.2">
      <c r="A73" s="22">
        <v>70</v>
      </c>
      <c r="B73" s="23">
        <v>44967</v>
      </c>
      <c r="C73" s="24" t="s">
        <v>156</v>
      </c>
      <c r="D73" s="24" t="s">
        <v>34</v>
      </c>
      <c r="E73" s="25" t="s">
        <v>22</v>
      </c>
      <c r="F73" s="25" t="s">
        <v>76</v>
      </c>
      <c r="G73" s="25" t="s">
        <v>52</v>
      </c>
      <c r="H73" s="25" t="str">
        <f t="shared" si="11"/>
        <v>Food Product</v>
      </c>
      <c r="I73" s="25" t="s">
        <v>92</v>
      </c>
      <c r="J73" s="25" t="str">
        <f t="shared" si="12"/>
        <v>Platinum</v>
      </c>
      <c r="K73" s="25">
        <v>2</v>
      </c>
      <c r="L73" s="26">
        <f t="shared" si="14"/>
        <v>55000</v>
      </c>
      <c r="M73" s="32">
        <f t="shared" si="10"/>
        <v>0.02</v>
      </c>
      <c r="N73" s="25" t="str">
        <f t="shared" si="13"/>
        <v>25 Point</v>
      </c>
      <c r="O73" s="26">
        <f t="shared" si="15"/>
        <v>108900</v>
      </c>
    </row>
    <row r="74" spans="1:15" ht="17" x14ac:dyDescent="0.2">
      <c r="A74" s="22">
        <v>71</v>
      </c>
      <c r="B74" s="23">
        <v>44967</v>
      </c>
      <c r="C74" s="24" t="s">
        <v>157</v>
      </c>
      <c r="D74" s="24" t="s">
        <v>34</v>
      </c>
      <c r="E74" s="25" t="s">
        <v>22</v>
      </c>
      <c r="F74" s="25" t="s">
        <v>30</v>
      </c>
      <c r="G74" s="25" t="s">
        <v>56</v>
      </c>
      <c r="H74" s="25" t="str">
        <f t="shared" si="11"/>
        <v>Food Product</v>
      </c>
      <c r="I74" s="25" t="s">
        <v>92</v>
      </c>
      <c r="J74" s="25" t="str">
        <f t="shared" si="12"/>
        <v>Gold</v>
      </c>
      <c r="K74" s="25">
        <v>2</v>
      </c>
      <c r="L74" s="26">
        <f t="shared" si="14"/>
        <v>55000</v>
      </c>
      <c r="M74" s="32">
        <f t="shared" si="10"/>
        <v>0.02</v>
      </c>
      <c r="N74" s="25" t="str">
        <f t="shared" si="13"/>
        <v>5 Point</v>
      </c>
      <c r="O74" s="26">
        <f t="shared" si="15"/>
        <v>108900</v>
      </c>
    </row>
    <row r="75" spans="1:15" ht="17" x14ac:dyDescent="0.2">
      <c r="A75" s="22">
        <v>72</v>
      </c>
      <c r="B75" s="23">
        <v>44967</v>
      </c>
      <c r="C75" s="24" t="s">
        <v>158</v>
      </c>
      <c r="D75" s="24" t="s">
        <v>16</v>
      </c>
      <c r="E75" s="25" t="s">
        <v>22</v>
      </c>
      <c r="F75" s="25" t="s">
        <v>82</v>
      </c>
      <c r="G75" s="25" t="s">
        <v>59</v>
      </c>
      <c r="H75" s="25" t="str">
        <f t="shared" si="11"/>
        <v>Food Product</v>
      </c>
      <c r="I75" s="25" t="s">
        <v>159</v>
      </c>
      <c r="J75" s="25" t="str">
        <f t="shared" si="12"/>
        <v>Gold</v>
      </c>
      <c r="K75" s="25">
        <v>2</v>
      </c>
      <c r="L75" s="26">
        <f>INDEX($Z$8:$Z$37,MATCH(I75,$Y$8:$Y$37,0))</f>
        <v>70000</v>
      </c>
      <c r="M75" s="32">
        <f t="shared" si="10"/>
        <v>0.02</v>
      </c>
      <c r="N75" s="25" t="str">
        <f t="shared" si="13"/>
        <v>25 Point</v>
      </c>
      <c r="O75" s="26">
        <f t="shared" si="15"/>
        <v>138600</v>
      </c>
    </row>
    <row r="76" spans="1:15" ht="17" x14ac:dyDescent="0.2">
      <c r="A76" s="22">
        <v>73</v>
      </c>
      <c r="B76" s="23">
        <v>44967</v>
      </c>
      <c r="C76" s="24" t="s">
        <v>160</v>
      </c>
      <c r="D76" s="24" t="s">
        <v>16</v>
      </c>
      <c r="E76" s="25" t="s">
        <v>22</v>
      </c>
      <c r="F76" s="25" t="s">
        <v>82</v>
      </c>
      <c r="G76" s="25" t="s">
        <v>61</v>
      </c>
      <c r="H76" s="25" t="str">
        <f t="shared" si="11"/>
        <v>General Merchandise Product</v>
      </c>
      <c r="I76" s="25" t="s">
        <v>62</v>
      </c>
      <c r="J76" s="25" t="str">
        <f t="shared" si="12"/>
        <v>Gold</v>
      </c>
      <c r="K76" s="25">
        <v>3</v>
      </c>
      <c r="L76" s="26">
        <f t="shared" ref="L76:L97" si="16">INDEX($Z$8:$Z$37,MATCH(I76,$Y$8:$Y$37,0))</f>
        <v>75000</v>
      </c>
      <c r="M76" s="32">
        <f t="shared" si="10"/>
        <v>0.02</v>
      </c>
      <c r="N76" s="25" t="str">
        <f t="shared" si="13"/>
        <v>25 Point</v>
      </c>
      <c r="O76" s="26">
        <f t="shared" si="15"/>
        <v>223500</v>
      </c>
    </row>
    <row r="77" spans="1:15" ht="17" x14ac:dyDescent="0.2">
      <c r="A77" s="22">
        <v>74</v>
      </c>
      <c r="B77" s="23">
        <v>44967</v>
      </c>
      <c r="C77" s="24" t="s">
        <v>161</v>
      </c>
      <c r="D77" s="24" t="s">
        <v>16</v>
      </c>
      <c r="E77" s="25" t="s">
        <v>22</v>
      </c>
      <c r="F77" s="25" t="s">
        <v>87</v>
      </c>
      <c r="G77" s="25" t="s">
        <v>61</v>
      </c>
      <c r="H77" s="25" t="str">
        <f t="shared" si="11"/>
        <v>General Merchandise Product</v>
      </c>
      <c r="I77" s="25" t="s">
        <v>64</v>
      </c>
      <c r="J77" s="25" t="str">
        <f t="shared" si="12"/>
        <v>Gold</v>
      </c>
      <c r="K77" s="25">
        <v>4</v>
      </c>
      <c r="L77" s="26">
        <f t="shared" si="16"/>
        <v>85000</v>
      </c>
      <c r="M77" s="32">
        <f t="shared" si="10"/>
        <v>0.02</v>
      </c>
      <c r="N77" s="25" t="str">
        <f t="shared" si="13"/>
        <v>25 Point</v>
      </c>
      <c r="O77" s="26">
        <f t="shared" si="15"/>
        <v>338300</v>
      </c>
    </row>
    <row r="78" spans="1:15" ht="17" x14ac:dyDescent="0.2">
      <c r="A78" s="22">
        <v>75</v>
      </c>
      <c r="B78" s="23">
        <v>44967</v>
      </c>
      <c r="C78" s="24" t="s">
        <v>162</v>
      </c>
      <c r="D78" s="24" t="s">
        <v>16</v>
      </c>
      <c r="E78" s="25" t="s">
        <v>22</v>
      </c>
      <c r="F78" s="25" t="s">
        <v>91</v>
      </c>
      <c r="G78" s="25" t="s">
        <v>67</v>
      </c>
      <c r="H78" s="25" t="str">
        <f t="shared" si="11"/>
        <v>General Merchandise Product</v>
      </c>
      <c r="I78" s="25" t="s">
        <v>62</v>
      </c>
      <c r="J78" s="25" t="str">
        <f t="shared" si="12"/>
        <v>Gold</v>
      </c>
      <c r="K78" s="25">
        <v>5</v>
      </c>
      <c r="L78" s="26">
        <f t="shared" si="16"/>
        <v>75000</v>
      </c>
      <c r="M78" s="32">
        <f t="shared" si="10"/>
        <v>0.02</v>
      </c>
      <c r="N78" s="25" t="str">
        <f t="shared" si="13"/>
        <v>10 Point</v>
      </c>
      <c r="O78" s="26">
        <f t="shared" si="15"/>
        <v>373500</v>
      </c>
    </row>
    <row r="79" spans="1:15" ht="17" x14ac:dyDescent="0.2">
      <c r="A79" s="22">
        <v>76</v>
      </c>
      <c r="B79" s="23">
        <v>44967</v>
      </c>
      <c r="C79" s="24" t="s">
        <v>163</v>
      </c>
      <c r="D79" s="24" t="s">
        <v>34</v>
      </c>
      <c r="E79" s="25" t="s">
        <v>22</v>
      </c>
      <c r="F79" s="25" t="s">
        <v>94</v>
      </c>
      <c r="G79" s="25" t="s">
        <v>67</v>
      </c>
      <c r="H79" s="25" t="str">
        <f t="shared" si="11"/>
        <v>General Merchandise Product</v>
      </c>
      <c r="I79" s="25" t="s">
        <v>72</v>
      </c>
      <c r="J79" s="25" t="str">
        <f t="shared" si="12"/>
        <v>Gold</v>
      </c>
      <c r="K79" s="25">
        <v>6</v>
      </c>
      <c r="L79" s="26">
        <f t="shared" si="16"/>
        <v>110500</v>
      </c>
      <c r="M79" s="32">
        <f t="shared" si="10"/>
        <v>0.02</v>
      </c>
      <c r="N79" s="25" t="str">
        <f t="shared" si="13"/>
        <v>10 Point</v>
      </c>
      <c r="O79" s="26">
        <f t="shared" si="15"/>
        <v>660790</v>
      </c>
    </row>
    <row r="80" spans="1:15" ht="17" x14ac:dyDescent="0.2">
      <c r="A80" s="22">
        <v>77</v>
      </c>
      <c r="B80" s="23">
        <v>44967</v>
      </c>
      <c r="C80" s="24" t="s">
        <v>164</v>
      </c>
      <c r="D80" s="24" t="s">
        <v>34</v>
      </c>
      <c r="E80" s="25" t="s">
        <v>22</v>
      </c>
      <c r="F80" s="25" t="s">
        <v>96</v>
      </c>
      <c r="G80" s="25" t="s">
        <v>67</v>
      </c>
      <c r="H80" s="25" t="str">
        <f t="shared" si="11"/>
        <v>General Merchandise Product</v>
      </c>
      <c r="I80" s="25" t="s">
        <v>64</v>
      </c>
      <c r="J80" s="25" t="str">
        <f t="shared" si="12"/>
        <v>Gold</v>
      </c>
      <c r="K80" s="25">
        <v>10</v>
      </c>
      <c r="L80" s="26">
        <f t="shared" si="16"/>
        <v>85000</v>
      </c>
      <c r="M80" s="32">
        <f t="shared" si="10"/>
        <v>0.03</v>
      </c>
      <c r="N80" s="25" t="str">
        <f t="shared" si="13"/>
        <v>15 Point</v>
      </c>
      <c r="O80" s="26">
        <f t="shared" si="15"/>
        <v>847450</v>
      </c>
    </row>
    <row r="81" spans="1:15" ht="17" x14ac:dyDescent="0.2">
      <c r="A81" s="22">
        <v>78</v>
      </c>
      <c r="B81" s="23">
        <v>44968</v>
      </c>
      <c r="C81" s="24" t="s">
        <v>165</v>
      </c>
      <c r="D81" s="24" t="s">
        <v>16</v>
      </c>
      <c r="E81" s="25" t="s">
        <v>22</v>
      </c>
      <c r="F81" s="25" t="s">
        <v>98</v>
      </c>
      <c r="G81" s="25" t="s">
        <v>67</v>
      </c>
      <c r="H81" s="25" t="str">
        <f t="shared" si="11"/>
        <v>General Merchandise Product</v>
      </c>
      <c r="I81" s="25" t="s">
        <v>62</v>
      </c>
      <c r="J81" s="25" t="str">
        <f t="shared" si="12"/>
        <v>Gold</v>
      </c>
      <c r="K81" s="25">
        <v>9</v>
      </c>
      <c r="L81" s="26">
        <f t="shared" si="16"/>
        <v>75000</v>
      </c>
      <c r="M81" s="32">
        <f t="shared" si="10"/>
        <v>0.03</v>
      </c>
      <c r="N81" s="25" t="str">
        <f t="shared" si="13"/>
        <v>25 Point</v>
      </c>
      <c r="O81" s="26">
        <f t="shared" si="15"/>
        <v>672750</v>
      </c>
    </row>
    <row r="82" spans="1:15" ht="17" x14ac:dyDescent="0.2">
      <c r="A82" s="22">
        <v>79</v>
      </c>
      <c r="B82" s="23">
        <v>44968</v>
      </c>
      <c r="C82" s="24" t="s">
        <v>166</v>
      </c>
      <c r="D82" s="24" t="s">
        <v>16</v>
      </c>
      <c r="E82" s="25" t="s">
        <v>22</v>
      </c>
      <c r="F82" s="25" t="s">
        <v>23</v>
      </c>
      <c r="G82" s="25" t="s">
        <v>77</v>
      </c>
      <c r="H82" s="25" t="str">
        <f t="shared" si="11"/>
        <v>General Merchandise Product</v>
      </c>
      <c r="I82" s="25" t="s">
        <v>72</v>
      </c>
      <c r="J82" s="25" t="str">
        <f t="shared" si="12"/>
        <v>Platinum</v>
      </c>
      <c r="K82" s="25">
        <v>5</v>
      </c>
      <c r="L82" s="26">
        <f t="shared" si="16"/>
        <v>110500</v>
      </c>
      <c r="M82" s="32">
        <f t="shared" si="10"/>
        <v>0.02</v>
      </c>
      <c r="N82" s="25" t="str">
        <f t="shared" si="13"/>
        <v>20 Point</v>
      </c>
      <c r="O82" s="26">
        <f t="shared" si="15"/>
        <v>550290</v>
      </c>
    </row>
    <row r="83" spans="1:15" ht="17" x14ac:dyDescent="0.2">
      <c r="A83" s="22">
        <v>80</v>
      </c>
      <c r="B83" s="23">
        <v>44968</v>
      </c>
      <c r="C83" s="24" t="s">
        <v>167</v>
      </c>
      <c r="D83" s="24" t="s">
        <v>16</v>
      </c>
      <c r="E83" s="25" t="s">
        <v>17</v>
      </c>
      <c r="F83" s="25" t="s">
        <v>28</v>
      </c>
      <c r="G83" s="25" t="s">
        <v>80</v>
      </c>
      <c r="H83" s="25" t="str">
        <f t="shared" si="11"/>
        <v>General Merchandise Product</v>
      </c>
      <c r="I83" s="25" t="s">
        <v>72</v>
      </c>
      <c r="J83" s="25" t="str">
        <f t="shared" si="12"/>
        <v>Platinum</v>
      </c>
      <c r="K83" s="25">
        <v>5</v>
      </c>
      <c r="L83" s="26">
        <f t="shared" si="16"/>
        <v>110500</v>
      </c>
      <c r="M83" s="32">
        <f t="shared" si="10"/>
        <v>0.02</v>
      </c>
      <c r="N83" s="25" t="str">
        <f t="shared" si="13"/>
        <v>20 Point</v>
      </c>
      <c r="O83" s="26">
        <f t="shared" si="15"/>
        <v>550290</v>
      </c>
    </row>
    <row r="84" spans="1:15" ht="17" x14ac:dyDescent="0.2">
      <c r="A84" s="22">
        <v>81</v>
      </c>
      <c r="B84" s="23">
        <v>44968</v>
      </c>
      <c r="C84" s="24" t="s">
        <v>168</v>
      </c>
      <c r="D84" s="24" t="s">
        <v>34</v>
      </c>
      <c r="E84" s="25" t="s">
        <v>17</v>
      </c>
      <c r="F84" s="25" t="s">
        <v>30</v>
      </c>
      <c r="G84" s="25" t="s">
        <v>61</v>
      </c>
      <c r="H84" s="25" t="str">
        <f t="shared" si="11"/>
        <v>General Merchandise Product</v>
      </c>
      <c r="I84" s="25" t="s">
        <v>62</v>
      </c>
      <c r="J84" s="25" t="str">
        <f t="shared" si="12"/>
        <v>Gold</v>
      </c>
      <c r="K84" s="25">
        <v>3</v>
      </c>
      <c r="L84" s="26">
        <f t="shared" si="16"/>
        <v>75000</v>
      </c>
      <c r="M84" s="32">
        <f t="shared" ref="M84:M115" si="17">IF(K84&gt;8,3%,2%)</f>
        <v>0.02</v>
      </c>
      <c r="N84" s="25" t="str">
        <f t="shared" si="13"/>
        <v>5 Point</v>
      </c>
      <c r="O84" s="26">
        <f t="shared" si="15"/>
        <v>223500</v>
      </c>
    </row>
    <row r="85" spans="1:15" ht="17" x14ac:dyDescent="0.2">
      <c r="A85" s="22">
        <v>82</v>
      </c>
      <c r="B85" s="23">
        <v>44969</v>
      </c>
      <c r="C85" s="24" t="s">
        <v>169</v>
      </c>
      <c r="D85" s="24" t="s">
        <v>16</v>
      </c>
      <c r="E85" s="25" t="s">
        <v>17</v>
      </c>
      <c r="F85" s="25" t="s">
        <v>35</v>
      </c>
      <c r="G85" s="25" t="s">
        <v>24</v>
      </c>
      <c r="H85" s="25" t="str">
        <f t="shared" si="11"/>
        <v>Perishable</v>
      </c>
      <c r="I85" s="25" t="s">
        <v>115</v>
      </c>
      <c r="J85" s="25" t="str">
        <f t="shared" si="12"/>
        <v>Gold</v>
      </c>
      <c r="K85" s="25">
        <v>2</v>
      </c>
      <c r="L85" s="26">
        <f t="shared" si="16"/>
        <v>89999</v>
      </c>
      <c r="M85" s="32">
        <f t="shared" si="17"/>
        <v>0.02</v>
      </c>
      <c r="N85" s="25" t="str">
        <f t="shared" si="13"/>
        <v>10 Point</v>
      </c>
      <c r="O85" s="26">
        <f t="shared" si="15"/>
        <v>178198.02</v>
      </c>
    </row>
    <row r="86" spans="1:15" ht="17" x14ac:dyDescent="0.2">
      <c r="A86" s="22">
        <v>83</v>
      </c>
      <c r="B86" s="23">
        <v>44969</v>
      </c>
      <c r="C86" s="24" t="s">
        <v>170</v>
      </c>
      <c r="D86" s="24" t="s">
        <v>34</v>
      </c>
      <c r="E86" s="25" t="s">
        <v>17</v>
      </c>
      <c r="F86" s="25" t="s">
        <v>39</v>
      </c>
      <c r="G86" s="25" t="s">
        <v>19</v>
      </c>
      <c r="H86" s="25" t="str">
        <f t="shared" si="11"/>
        <v>Perishable</v>
      </c>
      <c r="I86" s="25" t="s">
        <v>25</v>
      </c>
      <c r="J86" s="25" t="str">
        <f t="shared" si="12"/>
        <v>Gold</v>
      </c>
      <c r="K86" s="25">
        <v>2</v>
      </c>
      <c r="L86" s="26">
        <f t="shared" si="16"/>
        <v>69999</v>
      </c>
      <c r="M86" s="32">
        <f t="shared" si="17"/>
        <v>0.02</v>
      </c>
      <c r="N86" s="25" t="str">
        <f t="shared" si="13"/>
        <v>5 Point</v>
      </c>
      <c r="O86" s="26">
        <f t="shared" si="15"/>
        <v>138598.01999999999</v>
      </c>
    </row>
    <row r="87" spans="1:15" ht="17" x14ac:dyDescent="0.2">
      <c r="A87" s="22">
        <v>84</v>
      </c>
      <c r="B87" s="23">
        <v>44969</v>
      </c>
      <c r="C87" s="24" t="s">
        <v>171</v>
      </c>
      <c r="D87" s="24" t="s">
        <v>16</v>
      </c>
      <c r="E87" s="25" t="s">
        <v>17</v>
      </c>
      <c r="F87" s="25" t="s">
        <v>43</v>
      </c>
      <c r="G87" s="25" t="s">
        <v>31</v>
      </c>
      <c r="H87" s="25" t="str">
        <f t="shared" si="11"/>
        <v>Perishable</v>
      </c>
      <c r="I87" s="25" t="s">
        <v>25</v>
      </c>
      <c r="J87" s="25" t="str">
        <f t="shared" si="12"/>
        <v>Gold</v>
      </c>
      <c r="K87" s="25">
        <v>2</v>
      </c>
      <c r="L87" s="26">
        <f t="shared" si="16"/>
        <v>69999</v>
      </c>
      <c r="M87" s="32">
        <f t="shared" si="17"/>
        <v>0.02</v>
      </c>
      <c r="N87" s="25" t="str">
        <f t="shared" si="13"/>
        <v>15 Point</v>
      </c>
      <c r="O87" s="26">
        <f t="shared" si="15"/>
        <v>138598.01999999999</v>
      </c>
    </row>
    <row r="88" spans="1:15" ht="17" x14ac:dyDescent="0.2">
      <c r="A88" s="22">
        <v>85</v>
      </c>
      <c r="B88" s="23">
        <v>44969</v>
      </c>
      <c r="C88" s="24" t="s">
        <v>172</v>
      </c>
      <c r="D88" s="24" t="s">
        <v>16</v>
      </c>
      <c r="E88" s="25" t="s">
        <v>17</v>
      </c>
      <c r="F88" s="25" t="s">
        <v>45</v>
      </c>
      <c r="G88" s="25" t="s">
        <v>110</v>
      </c>
      <c r="H88" s="25" t="str">
        <f t="shared" si="11"/>
        <v>Perishable</v>
      </c>
      <c r="I88" s="25" t="s">
        <v>20</v>
      </c>
      <c r="J88" s="25" t="str">
        <f t="shared" si="12"/>
        <v>Silver</v>
      </c>
      <c r="K88" s="25">
        <v>4</v>
      </c>
      <c r="L88" s="26">
        <f t="shared" si="16"/>
        <v>49999</v>
      </c>
      <c r="M88" s="32">
        <f t="shared" si="17"/>
        <v>0.02</v>
      </c>
      <c r="N88" s="25" t="str">
        <f t="shared" si="13"/>
        <v>15 Point</v>
      </c>
      <c r="O88" s="26">
        <f t="shared" si="15"/>
        <v>198996.02</v>
      </c>
    </row>
    <row r="89" spans="1:15" ht="17" x14ac:dyDescent="0.2">
      <c r="A89" s="22">
        <v>86</v>
      </c>
      <c r="B89" s="23">
        <v>44969</v>
      </c>
      <c r="C89" s="24" t="s">
        <v>173</v>
      </c>
      <c r="D89" s="24" t="s">
        <v>34</v>
      </c>
      <c r="E89" s="25" t="s">
        <v>17</v>
      </c>
      <c r="F89" s="25" t="s">
        <v>49</v>
      </c>
      <c r="G89" s="25" t="s">
        <v>36</v>
      </c>
      <c r="H89" s="25" t="str">
        <f t="shared" si="11"/>
        <v>Non Food Product</v>
      </c>
      <c r="I89" s="25" t="s">
        <v>41</v>
      </c>
      <c r="J89" s="25" t="str">
        <f t="shared" si="12"/>
        <v>Silver</v>
      </c>
      <c r="K89" s="25">
        <v>5</v>
      </c>
      <c r="L89" s="26">
        <f t="shared" si="16"/>
        <v>85500</v>
      </c>
      <c r="M89" s="32">
        <f t="shared" si="17"/>
        <v>0.02</v>
      </c>
      <c r="N89" s="25" t="str">
        <f t="shared" si="13"/>
        <v>5 Point</v>
      </c>
      <c r="O89" s="26">
        <f t="shared" si="15"/>
        <v>425790</v>
      </c>
    </row>
    <row r="90" spans="1:15" ht="17" x14ac:dyDescent="0.2">
      <c r="A90" s="22">
        <v>87</v>
      </c>
      <c r="B90" s="23">
        <v>44970</v>
      </c>
      <c r="C90" s="24" t="s">
        <v>174</v>
      </c>
      <c r="D90" s="24" t="s">
        <v>16</v>
      </c>
      <c r="E90" s="25" t="s">
        <v>17</v>
      </c>
      <c r="F90" s="25" t="s">
        <v>51</v>
      </c>
      <c r="G90" s="25" t="s">
        <v>40</v>
      </c>
      <c r="H90" s="25" t="str">
        <f t="shared" si="11"/>
        <v>Non Food Product</v>
      </c>
      <c r="I90" s="25" t="s">
        <v>41</v>
      </c>
      <c r="J90" s="25" t="str">
        <f t="shared" si="12"/>
        <v>Silver</v>
      </c>
      <c r="K90" s="25">
        <v>5</v>
      </c>
      <c r="L90" s="26">
        <f t="shared" si="16"/>
        <v>85500</v>
      </c>
      <c r="M90" s="32">
        <f t="shared" si="17"/>
        <v>0.02</v>
      </c>
      <c r="N90" s="25" t="str">
        <f t="shared" si="13"/>
        <v>20 Point</v>
      </c>
      <c r="O90" s="26">
        <f t="shared" si="15"/>
        <v>425790</v>
      </c>
    </row>
    <row r="91" spans="1:15" ht="17" x14ac:dyDescent="0.2">
      <c r="A91" s="22">
        <v>88</v>
      </c>
      <c r="B91" s="23">
        <v>44970</v>
      </c>
      <c r="C91" s="24" t="s">
        <v>175</v>
      </c>
      <c r="D91" s="24" t="s">
        <v>16</v>
      </c>
      <c r="E91" s="25" t="s">
        <v>17</v>
      </c>
      <c r="F91" s="25" t="s">
        <v>30</v>
      </c>
      <c r="G91" s="25" t="s">
        <v>67</v>
      </c>
      <c r="H91" s="25" t="str">
        <f t="shared" si="11"/>
        <v>General Merchandise Product</v>
      </c>
      <c r="I91" s="25" t="s">
        <v>62</v>
      </c>
      <c r="J91" s="25" t="str">
        <f t="shared" si="12"/>
        <v>Gold</v>
      </c>
      <c r="K91" s="25">
        <v>7</v>
      </c>
      <c r="L91" s="26">
        <f t="shared" si="16"/>
        <v>75000</v>
      </c>
      <c r="M91" s="32">
        <f t="shared" si="17"/>
        <v>0.02</v>
      </c>
      <c r="N91" s="25" t="str">
        <f t="shared" si="13"/>
        <v>5 Point</v>
      </c>
      <c r="O91" s="26">
        <f t="shared" si="15"/>
        <v>523500</v>
      </c>
    </row>
    <row r="92" spans="1:15" ht="17" x14ac:dyDescent="0.2">
      <c r="A92" s="22">
        <v>89</v>
      </c>
      <c r="B92" s="23">
        <v>44970</v>
      </c>
      <c r="C92" s="24" t="s">
        <v>176</v>
      </c>
      <c r="D92" s="24" t="s">
        <v>16</v>
      </c>
      <c r="E92" s="25" t="s">
        <v>17</v>
      </c>
      <c r="F92" s="25" t="s">
        <v>39</v>
      </c>
      <c r="G92" s="25" t="s">
        <v>31</v>
      </c>
      <c r="H92" s="25" t="str">
        <f t="shared" si="11"/>
        <v>Perishable</v>
      </c>
      <c r="I92" s="25" t="s">
        <v>25</v>
      </c>
      <c r="J92" s="25" t="str">
        <f t="shared" si="12"/>
        <v>Gold</v>
      </c>
      <c r="K92" s="25">
        <v>7</v>
      </c>
      <c r="L92" s="26">
        <f t="shared" si="16"/>
        <v>69999</v>
      </c>
      <c r="M92" s="32">
        <f t="shared" si="17"/>
        <v>0.02</v>
      </c>
      <c r="N92" s="25" t="str">
        <f t="shared" si="13"/>
        <v>5 Point</v>
      </c>
      <c r="O92" s="26">
        <f t="shared" si="15"/>
        <v>488593.02</v>
      </c>
    </row>
    <row r="93" spans="1:15" ht="17" x14ac:dyDescent="0.2">
      <c r="A93" s="22">
        <v>90</v>
      </c>
      <c r="B93" s="23">
        <v>44970</v>
      </c>
      <c r="C93" s="24" t="s">
        <v>177</v>
      </c>
      <c r="D93" s="24" t="s">
        <v>34</v>
      </c>
      <c r="E93" s="25" t="s">
        <v>17</v>
      </c>
      <c r="F93" s="25" t="s">
        <v>66</v>
      </c>
      <c r="G93" s="25" t="s">
        <v>36</v>
      </c>
      <c r="H93" s="25" t="str">
        <f t="shared" si="11"/>
        <v>Non Food Product</v>
      </c>
      <c r="I93" s="25" t="s">
        <v>41</v>
      </c>
      <c r="J93" s="25" t="str">
        <f t="shared" si="12"/>
        <v>Gold</v>
      </c>
      <c r="K93" s="25">
        <v>7</v>
      </c>
      <c r="L93" s="26">
        <f t="shared" si="16"/>
        <v>85500</v>
      </c>
      <c r="M93" s="32">
        <f t="shared" si="17"/>
        <v>0.02</v>
      </c>
      <c r="N93" s="25" t="str">
        <f t="shared" si="13"/>
        <v>10 Point</v>
      </c>
      <c r="O93" s="26">
        <f t="shared" si="15"/>
        <v>596790</v>
      </c>
    </row>
    <row r="94" spans="1:15" ht="17" x14ac:dyDescent="0.2">
      <c r="A94" s="22">
        <v>91</v>
      </c>
      <c r="B94" s="23">
        <v>44970</v>
      </c>
      <c r="C94" s="24" t="s">
        <v>178</v>
      </c>
      <c r="D94" s="24" t="s">
        <v>16</v>
      </c>
      <c r="E94" s="25" t="s">
        <v>17</v>
      </c>
      <c r="F94" s="25" t="s">
        <v>69</v>
      </c>
      <c r="G94" s="25" t="s">
        <v>40</v>
      </c>
      <c r="H94" s="25" t="str">
        <f t="shared" si="11"/>
        <v>Non Food Product</v>
      </c>
      <c r="I94" s="25" t="s">
        <v>41</v>
      </c>
      <c r="J94" s="25" t="str">
        <f t="shared" si="12"/>
        <v>Gold</v>
      </c>
      <c r="K94" s="25">
        <v>8</v>
      </c>
      <c r="L94" s="26">
        <f t="shared" si="16"/>
        <v>85500</v>
      </c>
      <c r="M94" s="32">
        <f t="shared" si="17"/>
        <v>0.02</v>
      </c>
      <c r="N94" s="25" t="str">
        <f t="shared" si="13"/>
        <v>15 Point</v>
      </c>
      <c r="O94" s="26">
        <f t="shared" si="15"/>
        <v>682290</v>
      </c>
    </row>
    <row r="95" spans="1:15" ht="17" x14ac:dyDescent="0.2">
      <c r="A95" s="22">
        <v>92</v>
      </c>
      <c r="B95" s="23">
        <v>44970</v>
      </c>
      <c r="C95" s="24" t="s">
        <v>179</v>
      </c>
      <c r="D95" s="24" t="s">
        <v>16</v>
      </c>
      <c r="E95" s="25" t="s">
        <v>17</v>
      </c>
      <c r="F95" s="25" t="s">
        <v>71</v>
      </c>
      <c r="G95" s="25" t="s">
        <v>31</v>
      </c>
      <c r="H95" s="25" t="str">
        <f t="shared" si="11"/>
        <v>Perishable</v>
      </c>
      <c r="I95" s="25" t="s">
        <v>115</v>
      </c>
      <c r="J95" s="25" t="str">
        <f t="shared" si="12"/>
        <v>Gold</v>
      </c>
      <c r="K95" s="25">
        <v>8</v>
      </c>
      <c r="L95" s="26">
        <f t="shared" si="16"/>
        <v>89999</v>
      </c>
      <c r="M95" s="32">
        <f t="shared" si="17"/>
        <v>0.02</v>
      </c>
      <c r="N95" s="25" t="str">
        <f t="shared" si="13"/>
        <v>5 Point</v>
      </c>
      <c r="O95" s="26">
        <f t="shared" si="15"/>
        <v>718192.02</v>
      </c>
    </row>
    <row r="96" spans="1:15" ht="17" x14ac:dyDescent="0.2">
      <c r="A96" s="22">
        <v>93</v>
      </c>
      <c r="B96" s="23">
        <v>44971</v>
      </c>
      <c r="C96" s="24" t="s">
        <v>180</v>
      </c>
      <c r="D96" s="24" t="s">
        <v>16</v>
      </c>
      <c r="E96" s="25" t="s">
        <v>17</v>
      </c>
      <c r="F96" s="25" t="s">
        <v>74</v>
      </c>
      <c r="G96" s="25" t="s">
        <v>36</v>
      </c>
      <c r="H96" s="25" t="str">
        <f t="shared" si="11"/>
        <v>Non Food Product</v>
      </c>
      <c r="I96" s="25" t="s">
        <v>37</v>
      </c>
      <c r="J96" s="25" t="str">
        <f t="shared" si="12"/>
        <v>Platinum</v>
      </c>
      <c r="K96" s="25">
        <v>9</v>
      </c>
      <c r="L96" s="26">
        <f t="shared" si="16"/>
        <v>195000</v>
      </c>
      <c r="M96" s="32">
        <f t="shared" si="17"/>
        <v>0.03</v>
      </c>
      <c r="N96" s="25" t="str">
        <f t="shared" si="13"/>
        <v>25 Point</v>
      </c>
      <c r="O96" s="26">
        <f t="shared" si="15"/>
        <v>1749150</v>
      </c>
    </row>
    <row r="97" spans="1:15" ht="17" x14ac:dyDescent="0.2">
      <c r="A97" s="22">
        <v>94</v>
      </c>
      <c r="B97" s="23">
        <v>44971</v>
      </c>
      <c r="C97" s="24" t="s">
        <v>181</v>
      </c>
      <c r="D97" s="24" t="s">
        <v>34</v>
      </c>
      <c r="E97" s="25" t="s">
        <v>17</v>
      </c>
      <c r="F97" s="25" t="s">
        <v>76</v>
      </c>
      <c r="G97" s="25" t="s">
        <v>40</v>
      </c>
      <c r="H97" s="25" t="str">
        <f t="shared" si="11"/>
        <v>Non Food Product</v>
      </c>
      <c r="I97" s="25" t="s">
        <v>37</v>
      </c>
      <c r="J97" s="25" t="str">
        <f t="shared" si="12"/>
        <v>Platinum</v>
      </c>
      <c r="K97" s="25">
        <v>12</v>
      </c>
      <c r="L97" s="26">
        <f t="shared" si="16"/>
        <v>195000</v>
      </c>
      <c r="M97" s="32">
        <f t="shared" si="17"/>
        <v>0.03</v>
      </c>
      <c r="N97" s="25" t="str">
        <f t="shared" si="13"/>
        <v>25 Point</v>
      </c>
      <c r="O97" s="26">
        <f t="shared" si="15"/>
        <v>2334150</v>
      </c>
    </row>
    <row r="98" spans="1:15" ht="17" x14ac:dyDescent="0.2">
      <c r="A98" s="22">
        <v>95</v>
      </c>
      <c r="B98" s="23">
        <v>44971</v>
      </c>
      <c r="C98" s="24" t="s">
        <v>182</v>
      </c>
      <c r="D98" s="24" t="s">
        <v>16</v>
      </c>
      <c r="E98" s="25" t="s">
        <v>17</v>
      </c>
      <c r="F98" s="25" t="s">
        <v>30</v>
      </c>
      <c r="G98" s="25" t="s">
        <v>31</v>
      </c>
      <c r="H98" s="25" t="str">
        <f t="shared" si="11"/>
        <v>Perishable</v>
      </c>
      <c r="I98" s="25" t="s">
        <v>115</v>
      </c>
      <c r="J98" s="25" t="str">
        <f t="shared" si="12"/>
        <v>Gold</v>
      </c>
      <c r="K98" s="25">
        <v>11</v>
      </c>
      <c r="L98" s="26">
        <f>INDEX($Z$8:$Z$37,MATCH(I98,$Y$8:$Y$37,0))</f>
        <v>89999</v>
      </c>
      <c r="M98" s="32">
        <f t="shared" si="17"/>
        <v>0.03</v>
      </c>
      <c r="N98" s="25" t="str">
        <f t="shared" si="13"/>
        <v>5 Point</v>
      </c>
      <c r="O98" s="26">
        <f t="shared" si="15"/>
        <v>987289.03</v>
      </c>
    </row>
    <row r="99" spans="1:15" ht="17" x14ac:dyDescent="0.2">
      <c r="A99" s="22">
        <v>96</v>
      </c>
      <c r="B99" s="23">
        <v>44971</v>
      </c>
      <c r="C99" s="24" t="s">
        <v>183</v>
      </c>
      <c r="D99" s="24" t="s">
        <v>34</v>
      </c>
      <c r="E99" s="25" t="s">
        <v>17</v>
      </c>
      <c r="F99" s="25" t="s">
        <v>82</v>
      </c>
      <c r="G99" s="25" t="s">
        <v>67</v>
      </c>
      <c r="H99" s="25" t="str">
        <f t="shared" si="11"/>
        <v>General Merchandise Product</v>
      </c>
      <c r="I99" s="25" t="s">
        <v>62</v>
      </c>
      <c r="J99" s="25" t="str">
        <f t="shared" si="12"/>
        <v>Gold</v>
      </c>
      <c r="K99" s="25">
        <v>3</v>
      </c>
      <c r="L99" s="26">
        <f t="shared" ref="L99:L119" si="18">INDEX($Z$8:$Z$37,MATCH(I99,$Y$8:$Y$37,0))</f>
        <v>75000</v>
      </c>
      <c r="M99" s="32">
        <f t="shared" si="17"/>
        <v>0.02</v>
      </c>
      <c r="N99" s="25" t="str">
        <f t="shared" si="13"/>
        <v>25 Point</v>
      </c>
      <c r="O99" s="26">
        <f t="shared" si="15"/>
        <v>223500</v>
      </c>
    </row>
    <row r="100" spans="1:15" ht="17" x14ac:dyDescent="0.2">
      <c r="A100" s="22">
        <v>97</v>
      </c>
      <c r="B100" s="23">
        <v>44971</v>
      </c>
      <c r="C100" s="24" t="s">
        <v>184</v>
      </c>
      <c r="D100" s="24" t="s">
        <v>34</v>
      </c>
      <c r="E100" s="25" t="s">
        <v>17</v>
      </c>
      <c r="F100" s="25" t="s">
        <v>82</v>
      </c>
      <c r="G100" s="25" t="s">
        <v>31</v>
      </c>
      <c r="H100" s="25" t="str">
        <f t="shared" ref="H100:H131" si="19">VLOOKUP(LEFT(G100,2),Category,2,0)</f>
        <v>Perishable</v>
      </c>
      <c r="I100" s="25" t="s">
        <v>25</v>
      </c>
      <c r="J100" s="25" t="str">
        <f t="shared" ref="J100:J131" si="20">VLOOKUP(LEFT(F100,1),Barcode,2,0)</f>
        <v>Gold</v>
      </c>
      <c r="K100" s="25">
        <v>2</v>
      </c>
      <c r="L100" s="26">
        <f t="shared" si="18"/>
        <v>69999</v>
      </c>
      <c r="M100" s="32">
        <f t="shared" si="17"/>
        <v>0.02</v>
      </c>
      <c r="N100" s="25" t="str">
        <f t="shared" ref="N100:N131" si="21">HLOOKUP(VALUE(RIGHT(F100,2)),Point,2,0)</f>
        <v>25 Point</v>
      </c>
      <c r="O100" s="26">
        <f t="shared" si="15"/>
        <v>138598.01999999999</v>
      </c>
    </row>
    <row r="101" spans="1:15" ht="17" x14ac:dyDescent="0.2">
      <c r="A101" s="22">
        <v>98</v>
      </c>
      <c r="B101" s="23">
        <v>44972</v>
      </c>
      <c r="C101" s="24" t="s">
        <v>185</v>
      </c>
      <c r="D101" s="24" t="s">
        <v>16</v>
      </c>
      <c r="E101" s="25" t="s">
        <v>17</v>
      </c>
      <c r="F101" s="25" t="s">
        <v>87</v>
      </c>
      <c r="G101" s="25" t="s">
        <v>59</v>
      </c>
      <c r="H101" s="25" t="str">
        <f t="shared" si="19"/>
        <v>Food Product</v>
      </c>
      <c r="I101" s="25" t="s">
        <v>186</v>
      </c>
      <c r="J101" s="25" t="str">
        <f t="shared" si="20"/>
        <v>Gold</v>
      </c>
      <c r="K101" s="25">
        <v>2</v>
      </c>
      <c r="L101" s="26">
        <f t="shared" si="18"/>
        <v>75000</v>
      </c>
      <c r="M101" s="32">
        <f t="shared" si="17"/>
        <v>0.02</v>
      </c>
      <c r="N101" s="25" t="str">
        <f t="shared" si="21"/>
        <v>25 Point</v>
      </c>
      <c r="O101" s="26">
        <f t="shared" si="15"/>
        <v>148500</v>
      </c>
    </row>
    <row r="102" spans="1:15" ht="17" x14ac:dyDescent="0.2">
      <c r="A102" s="22">
        <v>99</v>
      </c>
      <c r="B102" s="23">
        <v>44972</v>
      </c>
      <c r="C102" s="24" t="s">
        <v>187</v>
      </c>
      <c r="D102" s="24" t="s">
        <v>16</v>
      </c>
      <c r="E102" s="25" t="s">
        <v>17</v>
      </c>
      <c r="F102" s="25" t="s">
        <v>91</v>
      </c>
      <c r="G102" s="25" t="s">
        <v>52</v>
      </c>
      <c r="H102" s="25" t="str">
        <f t="shared" si="19"/>
        <v>Food Product</v>
      </c>
      <c r="I102" s="25" t="s">
        <v>186</v>
      </c>
      <c r="J102" s="25" t="str">
        <f t="shared" si="20"/>
        <v>Gold</v>
      </c>
      <c r="K102" s="25">
        <v>4</v>
      </c>
      <c r="L102" s="26">
        <f t="shared" si="18"/>
        <v>75000</v>
      </c>
      <c r="M102" s="32">
        <f t="shared" si="17"/>
        <v>0.02</v>
      </c>
      <c r="N102" s="25" t="str">
        <f t="shared" si="21"/>
        <v>10 Point</v>
      </c>
      <c r="O102" s="26">
        <f t="shared" si="15"/>
        <v>298500</v>
      </c>
    </row>
    <row r="103" spans="1:15" ht="17" x14ac:dyDescent="0.2">
      <c r="A103" s="22">
        <v>100</v>
      </c>
      <c r="B103" s="23">
        <v>44972</v>
      </c>
      <c r="C103" s="24" t="s">
        <v>188</v>
      </c>
      <c r="D103" s="24" t="s">
        <v>16</v>
      </c>
      <c r="E103" s="25" t="s">
        <v>17</v>
      </c>
      <c r="F103" s="25" t="s">
        <v>94</v>
      </c>
      <c r="G103" s="25" t="s">
        <v>59</v>
      </c>
      <c r="H103" s="25" t="str">
        <f t="shared" si="19"/>
        <v>Food Product</v>
      </c>
      <c r="I103" s="25" t="s">
        <v>189</v>
      </c>
      <c r="J103" s="25" t="str">
        <f t="shared" si="20"/>
        <v>Gold</v>
      </c>
      <c r="K103" s="25">
        <v>4</v>
      </c>
      <c r="L103" s="26">
        <f t="shared" si="18"/>
        <v>120000</v>
      </c>
      <c r="M103" s="32">
        <f t="shared" si="17"/>
        <v>0.02</v>
      </c>
      <c r="N103" s="25" t="str">
        <f t="shared" si="21"/>
        <v>10 Point</v>
      </c>
      <c r="O103" s="26">
        <f t="shared" si="15"/>
        <v>477600</v>
      </c>
    </row>
    <row r="104" spans="1:15" ht="17" x14ac:dyDescent="0.2">
      <c r="A104" s="22">
        <v>101</v>
      </c>
      <c r="B104" s="23">
        <v>44972</v>
      </c>
      <c r="C104" s="24" t="s">
        <v>190</v>
      </c>
      <c r="D104" s="24" t="s">
        <v>16</v>
      </c>
      <c r="E104" s="25" t="s">
        <v>17</v>
      </c>
      <c r="F104" s="25" t="s">
        <v>96</v>
      </c>
      <c r="G104" s="25" t="s">
        <v>67</v>
      </c>
      <c r="H104" s="25" t="str">
        <f t="shared" si="19"/>
        <v>General Merchandise Product</v>
      </c>
      <c r="I104" s="25" t="s">
        <v>72</v>
      </c>
      <c r="J104" s="25" t="str">
        <f t="shared" si="20"/>
        <v>Gold</v>
      </c>
      <c r="K104" s="25">
        <v>5</v>
      </c>
      <c r="L104" s="26">
        <f t="shared" si="18"/>
        <v>110500</v>
      </c>
      <c r="M104" s="32">
        <f t="shared" si="17"/>
        <v>0.02</v>
      </c>
      <c r="N104" s="25" t="str">
        <f t="shared" si="21"/>
        <v>15 Point</v>
      </c>
      <c r="O104" s="26">
        <f t="shared" si="15"/>
        <v>550290</v>
      </c>
    </row>
    <row r="105" spans="1:15" ht="17" x14ac:dyDescent="0.2">
      <c r="A105" s="22">
        <v>102</v>
      </c>
      <c r="B105" s="23">
        <v>44972</v>
      </c>
      <c r="C105" s="25" t="s">
        <v>191</v>
      </c>
      <c r="D105" s="24" t="s">
        <v>16</v>
      </c>
      <c r="E105" s="25" t="s">
        <v>17</v>
      </c>
      <c r="F105" s="25" t="s">
        <v>30</v>
      </c>
      <c r="G105" s="25" t="s">
        <v>67</v>
      </c>
      <c r="H105" s="25" t="str">
        <f t="shared" si="19"/>
        <v>General Merchandise Product</v>
      </c>
      <c r="I105" s="25" t="s">
        <v>64</v>
      </c>
      <c r="J105" s="25" t="str">
        <f t="shared" si="20"/>
        <v>Gold</v>
      </c>
      <c r="K105" s="25">
        <v>5</v>
      </c>
      <c r="L105" s="26">
        <f t="shared" si="18"/>
        <v>85000</v>
      </c>
      <c r="M105" s="32">
        <f t="shared" si="17"/>
        <v>0.02</v>
      </c>
      <c r="N105" s="25" t="str">
        <f t="shared" si="21"/>
        <v>5 Point</v>
      </c>
      <c r="O105" s="26">
        <f t="shared" si="15"/>
        <v>423300</v>
      </c>
    </row>
    <row r="106" spans="1:15" ht="17" x14ac:dyDescent="0.2">
      <c r="A106" s="22">
        <v>103</v>
      </c>
      <c r="B106" s="23">
        <v>44972</v>
      </c>
      <c r="C106" s="25" t="s">
        <v>192</v>
      </c>
      <c r="D106" s="24" t="s">
        <v>16</v>
      </c>
      <c r="E106" s="25" t="s">
        <v>17</v>
      </c>
      <c r="F106" s="25" t="s">
        <v>39</v>
      </c>
      <c r="G106" s="25" t="s">
        <v>59</v>
      </c>
      <c r="H106" s="25" t="str">
        <f t="shared" si="19"/>
        <v>Food Product</v>
      </c>
      <c r="I106" s="25" t="s">
        <v>186</v>
      </c>
      <c r="J106" s="25" t="str">
        <f t="shared" si="20"/>
        <v>Gold</v>
      </c>
      <c r="K106" s="25">
        <v>7</v>
      </c>
      <c r="L106" s="26">
        <f t="shared" si="18"/>
        <v>75000</v>
      </c>
      <c r="M106" s="32">
        <f t="shared" si="17"/>
        <v>0.02</v>
      </c>
      <c r="N106" s="25" t="str">
        <f t="shared" si="21"/>
        <v>5 Point</v>
      </c>
      <c r="O106" s="26">
        <f t="shared" si="15"/>
        <v>523500</v>
      </c>
    </row>
    <row r="107" spans="1:15" ht="17" x14ac:dyDescent="0.2">
      <c r="A107" s="22">
        <v>104</v>
      </c>
      <c r="B107" s="23">
        <v>44973</v>
      </c>
      <c r="C107" s="25" t="s">
        <v>193</v>
      </c>
      <c r="D107" s="24" t="s">
        <v>34</v>
      </c>
      <c r="E107" s="25" t="s">
        <v>17</v>
      </c>
      <c r="F107" s="25" t="s">
        <v>66</v>
      </c>
      <c r="G107" s="25" t="s">
        <v>31</v>
      </c>
      <c r="H107" s="25" t="str">
        <f t="shared" si="19"/>
        <v>Perishable</v>
      </c>
      <c r="I107" s="25" t="s">
        <v>115</v>
      </c>
      <c r="J107" s="25" t="str">
        <f t="shared" si="20"/>
        <v>Gold</v>
      </c>
      <c r="K107" s="25">
        <v>8</v>
      </c>
      <c r="L107" s="26">
        <f t="shared" si="18"/>
        <v>89999</v>
      </c>
      <c r="M107" s="32">
        <f t="shared" si="17"/>
        <v>0.02</v>
      </c>
      <c r="N107" s="25" t="str">
        <f t="shared" si="21"/>
        <v>10 Point</v>
      </c>
      <c r="O107" s="26">
        <f t="shared" si="15"/>
        <v>718192.02</v>
      </c>
    </row>
    <row r="108" spans="1:15" ht="17" x14ac:dyDescent="0.2">
      <c r="A108" s="22">
        <v>105</v>
      </c>
      <c r="B108" s="23">
        <v>44973</v>
      </c>
      <c r="C108" s="25" t="s">
        <v>194</v>
      </c>
      <c r="D108" s="24" t="s">
        <v>34</v>
      </c>
      <c r="E108" s="25" t="s">
        <v>17</v>
      </c>
      <c r="F108" s="25" t="s">
        <v>69</v>
      </c>
      <c r="G108" s="25" t="s">
        <v>67</v>
      </c>
      <c r="H108" s="25" t="str">
        <f t="shared" si="19"/>
        <v>General Merchandise Product</v>
      </c>
      <c r="I108" s="25" t="s">
        <v>72</v>
      </c>
      <c r="J108" s="25" t="str">
        <f t="shared" si="20"/>
        <v>Gold</v>
      </c>
      <c r="K108" s="25">
        <v>8</v>
      </c>
      <c r="L108" s="26">
        <f t="shared" si="18"/>
        <v>110500</v>
      </c>
      <c r="M108" s="32">
        <f t="shared" si="17"/>
        <v>0.02</v>
      </c>
      <c r="N108" s="25" t="str">
        <f t="shared" si="21"/>
        <v>15 Point</v>
      </c>
      <c r="O108" s="26">
        <f t="shared" si="15"/>
        <v>881790</v>
      </c>
    </row>
    <row r="109" spans="1:15" ht="17" x14ac:dyDescent="0.2">
      <c r="A109" s="22">
        <v>106</v>
      </c>
      <c r="B109" s="23">
        <v>44973</v>
      </c>
      <c r="C109" s="25" t="s">
        <v>195</v>
      </c>
      <c r="D109" s="24" t="s">
        <v>34</v>
      </c>
      <c r="E109" s="25" t="s">
        <v>17</v>
      </c>
      <c r="F109" s="25" t="s">
        <v>71</v>
      </c>
      <c r="G109" s="25" t="s">
        <v>31</v>
      </c>
      <c r="H109" s="25" t="str">
        <f t="shared" si="19"/>
        <v>Perishable</v>
      </c>
      <c r="I109" s="25" t="s">
        <v>115</v>
      </c>
      <c r="J109" s="25" t="str">
        <f t="shared" si="20"/>
        <v>Gold</v>
      </c>
      <c r="K109" s="25">
        <v>7</v>
      </c>
      <c r="L109" s="26">
        <f t="shared" si="18"/>
        <v>89999</v>
      </c>
      <c r="M109" s="32">
        <f t="shared" si="17"/>
        <v>0.02</v>
      </c>
      <c r="N109" s="25" t="str">
        <f t="shared" si="21"/>
        <v>5 Point</v>
      </c>
      <c r="O109" s="26">
        <f t="shared" si="15"/>
        <v>628193.02</v>
      </c>
    </row>
    <row r="110" spans="1:15" ht="17" x14ac:dyDescent="0.2">
      <c r="A110" s="22">
        <v>107</v>
      </c>
      <c r="B110" s="23">
        <v>44974</v>
      </c>
      <c r="C110" s="25" t="s">
        <v>196</v>
      </c>
      <c r="D110" s="24" t="s">
        <v>34</v>
      </c>
      <c r="E110" s="25" t="s">
        <v>17</v>
      </c>
      <c r="F110" s="25" t="s">
        <v>74</v>
      </c>
      <c r="G110" s="25" t="s">
        <v>31</v>
      </c>
      <c r="H110" s="25" t="str">
        <f t="shared" si="19"/>
        <v>Perishable</v>
      </c>
      <c r="I110" s="25" t="s">
        <v>115</v>
      </c>
      <c r="J110" s="25" t="str">
        <f t="shared" si="20"/>
        <v>Platinum</v>
      </c>
      <c r="K110" s="25">
        <v>7</v>
      </c>
      <c r="L110" s="26">
        <f t="shared" si="18"/>
        <v>89999</v>
      </c>
      <c r="M110" s="32">
        <f t="shared" si="17"/>
        <v>0.02</v>
      </c>
      <c r="N110" s="25" t="str">
        <f t="shared" si="21"/>
        <v>25 Point</v>
      </c>
      <c r="O110" s="26">
        <f t="shared" si="15"/>
        <v>628193.02</v>
      </c>
    </row>
    <row r="111" spans="1:15" ht="17" x14ac:dyDescent="0.2">
      <c r="A111" s="22">
        <v>108</v>
      </c>
      <c r="B111" s="23">
        <v>44974</v>
      </c>
      <c r="C111" s="25" t="s">
        <v>197</v>
      </c>
      <c r="D111" s="24" t="s">
        <v>16</v>
      </c>
      <c r="E111" s="25" t="s">
        <v>198</v>
      </c>
      <c r="F111" s="25" t="s">
        <v>76</v>
      </c>
      <c r="G111" s="25" t="s">
        <v>31</v>
      </c>
      <c r="H111" s="25" t="str">
        <f t="shared" si="19"/>
        <v>Perishable</v>
      </c>
      <c r="I111" s="25" t="s">
        <v>115</v>
      </c>
      <c r="J111" s="25" t="str">
        <f t="shared" si="20"/>
        <v>Platinum</v>
      </c>
      <c r="K111" s="25">
        <v>5</v>
      </c>
      <c r="L111" s="26">
        <f t="shared" si="18"/>
        <v>89999</v>
      </c>
      <c r="M111" s="32">
        <f t="shared" si="17"/>
        <v>0.02</v>
      </c>
      <c r="N111" s="25" t="str">
        <f t="shared" si="21"/>
        <v>25 Point</v>
      </c>
      <c r="O111" s="26">
        <f t="shared" si="15"/>
        <v>448195.02</v>
      </c>
    </row>
    <row r="112" spans="1:15" ht="17" x14ac:dyDescent="0.2">
      <c r="A112" s="22">
        <v>109</v>
      </c>
      <c r="B112" s="23">
        <v>44974</v>
      </c>
      <c r="C112" s="25" t="s">
        <v>199</v>
      </c>
      <c r="D112" s="24" t="s">
        <v>16</v>
      </c>
      <c r="E112" s="25" t="s">
        <v>198</v>
      </c>
      <c r="F112" s="25" t="s">
        <v>30</v>
      </c>
      <c r="G112" s="25" t="s">
        <v>59</v>
      </c>
      <c r="H112" s="25" t="str">
        <f t="shared" si="19"/>
        <v>Food Product</v>
      </c>
      <c r="I112" s="25" t="s">
        <v>186</v>
      </c>
      <c r="J112" s="25" t="str">
        <f t="shared" si="20"/>
        <v>Gold</v>
      </c>
      <c r="K112" s="25">
        <v>4</v>
      </c>
      <c r="L112" s="26">
        <f t="shared" si="18"/>
        <v>75000</v>
      </c>
      <c r="M112" s="32">
        <f t="shared" si="17"/>
        <v>0.02</v>
      </c>
      <c r="N112" s="25" t="str">
        <f t="shared" si="21"/>
        <v>5 Point</v>
      </c>
      <c r="O112" s="26">
        <f t="shared" si="15"/>
        <v>298500</v>
      </c>
    </row>
    <row r="113" spans="1:15" ht="17" x14ac:dyDescent="0.2">
      <c r="A113" s="22">
        <v>110</v>
      </c>
      <c r="B113" s="23">
        <v>44974</v>
      </c>
      <c r="C113" s="25" t="s">
        <v>200</v>
      </c>
      <c r="D113" s="24" t="s">
        <v>34</v>
      </c>
      <c r="E113" s="25" t="s">
        <v>22</v>
      </c>
      <c r="F113" s="25" t="s">
        <v>82</v>
      </c>
      <c r="G113" s="25" t="s">
        <v>59</v>
      </c>
      <c r="H113" s="25" t="str">
        <f t="shared" si="19"/>
        <v>Food Product</v>
      </c>
      <c r="I113" s="25" t="s">
        <v>92</v>
      </c>
      <c r="J113" s="25" t="str">
        <f t="shared" si="20"/>
        <v>Gold</v>
      </c>
      <c r="K113" s="25">
        <v>6</v>
      </c>
      <c r="L113" s="26">
        <f t="shared" si="18"/>
        <v>55000</v>
      </c>
      <c r="M113" s="32">
        <f t="shared" si="17"/>
        <v>0.02</v>
      </c>
      <c r="N113" s="25" t="str">
        <f t="shared" si="21"/>
        <v>25 Point</v>
      </c>
      <c r="O113" s="26">
        <f t="shared" si="15"/>
        <v>328900</v>
      </c>
    </row>
    <row r="114" spans="1:15" ht="17" x14ac:dyDescent="0.2">
      <c r="A114" s="22">
        <v>111</v>
      </c>
      <c r="B114" s="23">
        <v>44974</v>
      </c>
      <c r="C114" s="25" t="s">
        <v>201</v>
      </c>
      <c r="D114" s="24" t="s">
        <v>34</v>
      </c>
      <c r="E114" s="25" t="s">
        <v>198</v>
      </c>
      <c r="F114" s="25" t="s">
        <v>82</v>
      </c>
      <c r="G114" s="25" t="s">
        <v>59</v>
      </c>
      <c r="H114" s="25" t="str">
        <f t="shared" si="19"/>
        <v>Food Product</v>
      </c>
      <c r="I114" s="25" t="s">
        <v>92</v>
      </c>
      <c r="J114" s="25" t="str">
        <f t="shared" si="20"/>
        <v>Gold</v>
      </c>
      <c r="K114" s="25">
        <v>8</v>
      </c>
      <c r="L114" s="26">
        <f t="shared" si="18"/>
        <v>55000</v>
      </c>
      <c r="M114" s="32">
        <f t="shared" si="17"/>
        <v>0.02</v>
      </c>
      <c r="N114" s="25" t="str">
        <f t="shared" si="21"/>
        <v>25 Point</v>
      </c>
      <c r="O114" s="26">
        <f t="shared" si="15"/>
        <v>438900</v>
      </c>
    </row>
    <row r="115" spans="1:15" ht="17" x14ac:dyDescent="0.2">
      <c r="A115" s="22">
        <v>112</v>
      </c>
      <c r="B115" s="23">
        <v>44974</v>
      </c>
      <c r="C115" s="25" t="s">
        <v>202</v>
      </c>
      <c r="D115" s="24" t="s">
        <v>16</v>
      </c>
      <c r="E115" s="25" t="s">
        <v>198</v>
      </c>
      <c r="F115" s="25" t="s">
        <v>87</v>
      </c>
      <c r="G115" s="25" t="s">
        <v>36</v>
      </c>
      <c r="H115" s="25" t="str">
        <f t="shared" si="19"/>
        <v>Non Food Product</v>
      </c>
      <c r="I115" s="25" t="s">
        <v>137</v>
      </c>
      <c r="J115" s="25" t="str">
        <f t="shared" si="20"/>
        <v>Gold</v>
      </c>
      <c r="K115" s="25">
        <v>8</v>
      </c>
      <c r="L115" s="26">
        <f t="shared" si="18"/>
        <v>115000</v>
      </c>
      <c r="M115" s="32">
        <f t="shared" si="17"/>
        <v>0.02</v>
      </c>
      <c r="N115" s="25" t="str">
        <f t="shared" si="21"/>
        <v>25 Point</v>
      </c>
      <c r="O115" s="26">
        <f t="shared" si="15"/>
        <v>917700</v>
      </c>
    </row>
    <row r="116" spans="1:15" ht="17" x14ac:dyDescent="0.2">
      <c r="A116" s="22">
        <v>113</v>
      </c>
      <c r="B116" s="23">
        <v>44975</v>
      </c>
      <c r="C116" s="25" t="s">
        <v>203</v>
      </c>
      <c r="D116" s="24" t="s">
        <v>16</v>
      </c>
      <c r="E116" s="25" t="s">
        <v>22</v>
      </c>
      <c r="F116" s="25" t="s">
        <v>91</v>
      </c>
      <c r="G116" s="25" t="s">
        <v>40</v>
      </c>
      <c r="H116" s="25" t="str">
        <f t="shared" si="19"/>
        <v>Non Food Product</v>
      </c>
      <c r="I116" s="25" t="s">
        <v>137</v>
      </c>
      <c r="J116" s="25" t="str">
        <f t="shared" si="20"/>
        <v>Gold</v>
      </c>
      <c r="K116" s="25">
        <v>9</v>
      </c>
      <c r="L116" s="26">
        <f t="shared" si="18"/>
        <v>115000</v>
      </c>
      <c r="M116" s="32">
        <f t="shared" ref="M116:M147" si="22">IF(K116&gt;8,3%,2%)</f>
        <v>0.03</v>
      </c>
      <c r="N116" s="25" t="str">
        <f t="shared" si="21"/>
        <v>10 Point</v>
      </c>
      <c r="O116" s="26">
        <f t="shared" si="15"/>
        <v>1031550</v>
      </c>
    </row>
    <row r="117" spans="1:15" ht="17" x14ac:dyDescent="0.2">
      <c r="A117" s="22">
        <v>114</v>
      </c>
      <c r="B117" s="23">
        <v>44975</v>
      </c>
      <c r="C117" s="25" t="s">
        <v>204</v>
      </c>
      <c r="D117" s="24" t="s">
        <v>16</v>
      </c>
      <c r="E117" s="25" t="s">
        <v>198</v>
      </c>
      <c r="F117" s="25" t="s">
        <v>94</v>
      </c>
      <c r="G117" s="25" t="s">
        <v>67</v>
      </c>
      <c r="H117" s="25" t="str">
        <f t="shared" si="19"/>
        <v>General Merchandise Product</v>
      </c>
      <c r="I117" s="25" t="s">
        <v>72</v>
      </c>
      <c r="J117" s="25" t="str">
        <f t="shared" si="20"/>
        <v>Gold</v>
      </c>
      <c r="K117" s="25">
        <v>11</v>
      </c>
      <c r="L117" s="26">
        <f t="shared" si="18"/>
        <v>110500</v>
      </c>
      <c r="M117" s="32">
        <f t="shared" si="22"/>
        <v>0.03</v>
      </c>
      <c r="N117" s="25" t="str">
        <f t="shared" si="21"/>
        <v>10 Point</v>
      </c>
      <c r="O117" s="26">
        <f t="shared" si="15"/>
        <v>1212185</v>
      </c>
    </row>
    <row r="118" spans="1:15" ht="17" x14ac:dyDescent="0.2">
      <c r="A118" s="22">
        <v>115</v>
      </c>
      <c r="B118" s="23">
        <v>44975</v>
      </c>
      <c r="C118" s="25" t="s">
        <v>205</v>
      </c>
      <c r="D118" s="24" t="s">
        <v>16</v>
      </c>
      <c r="E118" s="25" t="s">
        <v>22</v>
      </c>
      <c r="F118" s="25" t="s">
        <v>96</v>
      </c>
      <c r="G118" s="25" t="s">
        <v>36</v>
      </c>
      <c r="H118" s="25" t="str">
        <f t="shared" si="19"/>
        <v>Non Food Product</v>
      </c>
      <c r="I118" s="25" t="s">
        <v>106</v>
      </c>
      <c r="J118" s="25" t="str">
        <f t="shared" si="20"/>
        <v>Gold</v>
      </c>
      <c r="K118" s="25">
        <v>10</v>
      </c>
      <c r="L118" s="26">
        <f t="shared" si="18"/>
        <v>45500</v>
      </c>
      <c r="M118" s="32">
        <f t="shared" si="22"/>
        <v>0.03</v>
      </c>
      <c r="N118" s="25" t="str">
        <f t="shared" si="21"/>
        <v>15 Point</v>
      </c>
      <c r="O118" s="26">
        <f t="shared" si="15"/>
        <v>453635</v>
      </c>
    </row>
    <row r="119" spans="1:15" ht="17" x14ac:dyDescent="0.2">
      <c r="A119" s="22">
        <v>116</v>
      </c>
      <c r="B119" s="23">
        <v>44976</v>
      </c>
      <c r="C119" s="25" t="s">
        <v>206</v>
      </c>
      <c r="D119" s="24" t="s">
        <v>16</v>
      </c>
      <c r="E119" s="25" t="s">
        <v>198</v>
      </c>
      <c r="F119" s="25" t="s">
        <v>98</v>
      </c>
      <c r="G119" s="25" t="s">
        <v>52</v>
      </c>
      <c r="H119" s="25" t="str">
        <f t="shared" si="19"/>
        <v>Food Product</v>
      </c>
      <c r="I119" s="25" t="s">
        <v>189</v>
      </c>
      <c r="J119" s="25" t="str">
        <f t="shared" si="20"/>
        <v>Gold</v>
      </c>
      <c r="K119" s="25">
        <v>9</v>
      </c>
      <c r="L119" s="26">
        <f t="shared" si="18"/>
        <v>120000</v>
      </c>
      <c r="M119" s="32">
        <f t="shared" si="22"/>
        <v>0.03</v>
      </c>
      <c r="N119" s="25" t="str">
        <f t="shared" si="21"/>
        <v>25 Point</v>
      </c>
      <c r="O119" s="26">
        <f t="shared" si="15"/>
        <v>1076400</v>
      </c>
    </row>
    <row r="120" spans="1:15" ht="17" x14ac:dyDescent="0.2">
      <c r="A120" s="22">
        <v>117</v>
      </c>
      <c r="B120" s="23">
        <v>44976</v>
      </c>
      <c r="C120" s="25" t="s">
        <v>207</v>
      </c>
      <c r="D120" s="24" t="s">
        <v>16</v>
      </c>
      <c r="E120" s="25" t="s">
        <v>48</v>
      </c>
      <c r="F120" s="25" t="s">
        <v>23</v>
      </c>
      <c r="G120" s="25" t="s">
        <v>56</v>
      </c>
      <c r="H120" s="25" t="str">
        <f t="shared" si="19"/>
        <v>Food Product</v>
      </c>
      <c r="I120" s="25" t="s">
        <v>186</v>
      </c>
      <c r="J120" s="25" t="str">
        <f t="shared" si="20"/>
        <v>Platinum</v>
      </c>
      <c r="K120" s="25">
        <v>5</v>
      </c>
      <c r="L120" s="26">
        <f>INDEX($Z$8:$Z$37,MATCH(I120,$Y$8:$Y$37,0))</f>
        <v>75000</v>
      </c>
      <c r="M120" s="32">
        <f t="shared" si="22"/>
        <v>0.02</v>
      </c>
      <c r="N120" s="25" t="str">
        <f t="shared" si="21"/>
        <v>20 Point</v>
      </c>
      <c r="O120" s="26">
        <f t="shared" si="15"/>
        <v>373500</v>
      </c>
    </row>
    <row r="121" spans="1:15" ht="17" x14ac:dyDescent="0.2">
      <c r="A121" s="22">
        <v>118</v>
      </c>
      <c r="B121" s="23">
        <v>44976</v>
      </c>
      <c r="C121" s="25" t="s">
        <v>208</v>
      </c>
      <c r="D121" s="24" t="s">
        <v>16</v>
      </c>
      <c r="E121" s="25" t="s">
        <v>48</v>
      </c>
      <c r="F121" s="25" t="s">
        <v>28</v>
      </c>
      <c r="G121" s="25" t="s">
        <v>59</v>
      </c>
      <c r="H121" s="25" t="str">
        <f t="shared" si="19"/>
        <v>Food Product</v>
      </c>
      <c r="I121" s="25" t="s">
        <v>92</v>
      </c>
      <c r="J121" s="25" t="str">
        <f t="shared" si="20"/>
        <v>Platinum</v>
      </c>
      <c r="K121" s="25">
        <v>5</v>
      </c>
      <c r="L121" s="26">
        <f t="shared" ref="L121:L137" si="23">INDEX($Z$8:$Z$37,MATCH(I121,$Y$8:$Y$37,0))</f>
        <v>55000</v>
      </c>
      <c r="M121" s="32">
        <f t="shared" si="22"/>
        <v>0.02</v>
      </c>
      <c r="N121" s="25" t="str">
        <f t="shared" si="21"/>
        <v>20 Point</v>
      </c>
      <c r="O121" s="26">
        <f t="shared" si="15"/>
        <v>273900</v>
      </c>
    </row>
    <row r="122" spans="1:15" ht="17" x14ac:dyDescent="0.2">
      <c r="A122" s="22">
        <v>119</v>
      </c>
      <c r="B122" s="23">
        <v>44976</v>
      </c>
      <c r="C122" s="25" t="s">
        <v>209</v>
      </c>
      <c r="D122" s="24" t="s">
        <v>16</v>
      </c>
      <c r="E122" s="25" t="s">
        <v>48</v>
      </c>
      <c r="F122" s="25" t="s">
        <v>30</v>
      </c>
      <c r="G122" s="25" t="s">
        <v>61</v>
      </c>
      <c r="H122" s="25" t="str">
        <f t="shared" si="19"/>
        <v>General Merchandise Product</v>
      </c>
      <c r="I122" s="25" t="s">
        <v>72</v>
      </c>
      <c r="J122" s="25" t="str">
        <f t="shared" si="20"/>
        <v>Gold</v>
      </c>
      <c r="K122" s="25">
        <v>3</v>
      </c>
      <c r="L122" s="26">
        <f t="shared" si="23"/>
        <v>110500</v>
      </c>
      <c r="M122" s="32">
        <f t="shared" si="22"/>
        <v>0.02</v>
      </c>
      <c r="N122" s="25" t="str">
        <f t="shared" si="21"/>
        <v>5 Point</v>
      </c>
      <c r="O122" s="26">
        <f t="shared" si="15"/>
        <v>329290</v>
      </c>
    </row>
    <row r="123" spans="1:15" ht="17" x14ac:dyDescent="0.2">
      <c r="A123" s="22">
        <v>120</v>
      </c>
      <c r="B123" s="23">
        <v>44976</v>
      </c>
      <c r="C123" s="25" t="s">
        <v>210</v>
      </c>
      <c r="D123" s="24" t="s">
        <v>16</v>
      </c>
      <c r="E123" s="25" t="s">
        <v>48</v>
      </c>
      <c r="F123" s="25" t="s">
        <v>35</v>
      </c>
      <c r="G123" s="25" t="s">
        <v>110</v>
      </c>
      <c r="H123" s="25" t="str">
        <f t="shared" si="19"/>
        <v>Perishable</v>
      </c>
      <c r="I123" s="25" t="s">
        <v>25</v>
      </c>
      <c r="J123" s="25" t="str">
        <f t="shared" si="20"/>
        <v>Gold</v>
      </c>
      <c r="K123" s="25">
        <v>2</v>
      </c>
      <c r="L123" s="26">
        <f t="shared" si="23"/>
        <v>69999</v>
      </c>
      <c r="M123" s="32">
        <f t="shared" si="22"/>
        <v>0.02</v>
      </c>
      <c r="N123" s="25" t="str">
        <f t="shared" si="21"/>
        <v>10 Point</v>
      </c>
      <c r="O123" s="26">
        <f t="shared" si="15"/>
        <v>138598.01999999999</v>
      </c>
    </row>
    <row r="124" spans="1:15" ht="17" x14ac:dyDescent="0.2">
      <c r="A124" s="22">
        <v>121</v>
      </c>
      <c r="B124" s="23">
        <v>44977</v>
      </c>
      <c r="C124" s="25" t="s">
        <v>211</v>
      </c>
      <c r="D124" s="24" t="s">
        <v>16</v>
      </c>
      <c r="E124" s="25" t="s">
        <v>48</v>
      </c>
      <c r="F124" s="25" t="s">
        <v>39</v>
      </c>
      <c r="G124" s="25" t="s">
        <v>19</v>
      </c>
      <c r="H124" s="25" t="str">
        <f t="shared" si="19"/>
        <v>Perishable</v>
      </c>
      <c r="I124" s="25" t="s">
        <v>32</v>
      </c>
      <c r="J124" s="25" t="str">
        <f t="shared" si="20"/>
        <v>Gold</v>
      </c>
      <c r="K124" s="25">
        <v>2</v>
      </c>
      <c r="L124" s="26">
        <f t="shared" si="23"/>
        <v>25500</v>
      </c>
      <c r="M124" s="32">
        <f t="shared" si="22"/>
        <v>0.02</v>
      </c>
      <c r="N124" s="25" t="str">
        <f t="shared" si="21"/>
        <v>5 Point</v>
      </c>
      <c r="O124" s="26">
        <f t="shared" si="15"/>
        <v>50490</v>
      </c>
    </row>
    <row r="125" spans="1:15" ht="17" x14ac:dyDescent="0.2">
      <c r="A125" s="22">
        <v>122</v>
      </c>
      <c r="B125" s="23">
        <v>44977</v>
      </c>
      <c r="C125" s="25" t="s">
        <v>212</v>
      </c>
      <c r="D125" s="24" t="s">
        <v>16</v>
      </c>
      <c r="E125" s="25" t="s">
        <v>48</v>
      </c>
      <c r="F125" s="25" t="s">
        <v>43</v>
      </c>
      <c r="G125" s="25" t="s">
        <v>24</v>
      </c>
      <c r="H125" s="25" t="str">
        <f t="shared" si="19"/>
        <v>Perishable</v>
      </c>
      <c r="I125" s="25" t="s">
        <v>32</v>
      </c>
      <c r="J125" s="25" t="str">
        <f t="shared" si="20"/>
        <v>Gold</v>
      </c>
      <c r="K125" s="25">
        <v>2</v>
      </c>
      <c r="L125" s="26">
        <f t="shared" si="23"/>
        <v>25500</v>
      </c>
      <c r="M125" s="32">
        <f t="shared" si="22"/>
        <v>0.02</v>
      </c>
      <c r="N125" s="25" t="str">
        <f t="shared" si="21"/>
        <v>15 Point</v>
      </c>
      <c r="O125" s="26">
        <f t="shared" si="15"/>
        <v>50490</v>
      </c>
    </row>
    <row r="126" spans="1:15" ht="17" x14ac:dyDescent="0.2">
      <c r="A126" s="22">
        <v>123</v>
      </c>
      <c r="B126" s="23">
        <v>44977</v>
      </c>
      <c r="C126" s="25" t="s">
        <v>213</v>
      </c>
      <c r="D126" s="24" t="s">
        <v>16</v>
      </c>
      <c r="E126" s="25" t="s">
        <v>48</v>
      </c>
      <c r="F126" s="25" t="s">
        <v>45</v>
      </c>
      <c r="G126" s="25" t="s">
        <v>24</v>
      </c>
      <c r="H126" s="25" t="str">
        <f t="shared" si="19"/>
        <v>Perishable</v>
      </c>
      <c r="I126" s="25" t="s">
        <v>32</v>
      </c>
      <c r="J126" s="25" t="str">
        <f t="shared" si="20"/>
        <v>Silver</v>
      </c>
      <c r="K126" s="25">
        <v>4</v>
      </c>
      <c r="L126" s="26">
        <f t="shared" si="23"/>
        <v>25500</v>
      </c>
      <c r="M126" s="32">
        <f t="shared" si="22"/>
        <v>0.02</v>
      </c>
      <c r="N126" s="25" t="str">
        <f t="shared" si="21"/>
        <v>15 Point</v>
      </c>
      <c r="O126" s="26">
        <f t="shared" si="15"/>
        <v>101490</v>
      </c>
    </row>
    <row r="127" spans="1:15" ht="17" x14ac:dyDescent="0.2">
      <c r="A127" s="22">
        <v>124</v>
      </c>
      <c r="B127" s="23">
        <v>44977</v>
      </c>
      <c r="C127" s="25" t="s">
        <v>214</v>
      </c>
      <c r="D127" s="24" t="s">
        <v>34</v>
      </c>
      <c r="E127" s="25" t="s">
        <v>48</v>
      </c>
      <c r="F127" s="25" t="s">
        <v>82</v>
      </c>
      <c r="G127" s="25" t="s">
        <v>24</v>
      </c>
      <c r="H127" s="25" t="str">
        <f t="shared" si="19"/>
        <v>Perishable</v>
      </c>
      <c r="I127" s="25" t="s">
        <v>25</v>
      </c>
      <c r="J127" s="25" t="str">
        <f t="shared" si="20"/>
        <v>Gold</v>
      </c>
      <c r="K127" s="25">
        <v>5</v>
      </c>
      <c r="L127" s="26">
        <f t="shared" si="23"/>
        <v>69999</v>
      </c>
      <c r="M127" s="32">
        <f t="shared" si="22"/>
        <v>0.02</v>
      </c>
      <c r="N127" s="25" t="str">
        <f t="shared" si="21"/>
        <v>25 Point</v>
      </c>
      <c r="O127" s="26">
        <f t="shared" si="15"/>
        <v>348595.02</v>
      </c>
    </row>
    <row r="128" spans="1:15" ht="17" x14ac:dyDescent="0.2">
      <c r="A128" s="22">
        <v>125</v>
      </c>
      <c r="B128" s="23">
        <v>44978</v>
      </c>
      <c r="C128" s="25" t="s">
        <v>215</v>
      </c>
      <c r="D128" s="24" t="s">
        <v>34</v>
      </c>
      <c r="E128" s="25" t="s">
        <v>48</v>
      </c>
      <c r="F128" s="25" t="s">
        <v>28</v>
      </c>
      <c r="G128" s="25" t="s">
        <v>110</v>
      </c>
      <c r="H128" s="25" t="str">
        <f t="shared" si="19"/>
        <v>Perishable</v>
      </c>
      <c r="I128" s="25" t="s">
        <v>25</v>
      </c>
      <c r="J128" s="25" t="str">
        <f t="shared" si="20"/>
        <v>Platinum</v>
      </c>
      <c r="K128" s="25">
        <v>5</v>
      </c>
      <c r="L128" s="26">
        <f t="shared" si="23"/>
        <v>69999</v>
      </c>
      <c r="M128" s="32">
        <f t="shared" si="22"/>
        <v>0.02</v>
      </c>
      <c r="N128" s="25" t="str">
        <f t="shared" si="21"/>
        <v>20 Point</v>
      </c>
      <c r="O128" s="26">
        <f t="shared" si="15"/>
        <v>348595.02</v>
      </c>
    </row>
    <row r="129" spans="1:15" ht="17" x14ac:dyDescent="0.2">
      <c r="A129" s="22">
        <v>126</v>
      </c>
      <c r="B129" s="23">
        <v>44978</v>
      </c>
      <c r="C129" s="25" t="s">
        <v>216</v>
      </c>
      <c r="D129" s="24" t="s">
        <v>16</v>
      </c>
      <c r="E129" s="25" t="s">
        <v>48</v>
      </c>
      <c r="F129" s="25" t="s">
        <v>30</v>
      </c>
      <c r="G129" s="25" t="s">
        <v>110</v>
      </c>
      <c r="H129" s="25" t="str">
        <f t="shared" si="19"/>
        <v>Perishable</v>
      </c>
      <c r="I129" s="25" t="s">
        <v>20</v>
      </c>
      <c r="J129" s="25" t="str">
        <f t="shared" si="20"/>
        <v>Gold</v>
      </c>
      <c r="K129" s="25">
        <v>7</v>
      </c>
      <c r="L129" s="26">
        <f t="shared" si="23"/>
        <v>49999</v>
      </c>
      <c r="M129" s="32">
        <f t="shared" si="22"/>
        <v>0.02</v>
      </c>
      <c r="N129" s="25" t="str">
        <f t="shared" si="21"/>
        <v>5 Point</v>
      </c>
      <c r="O129" s="26">
        <f t="shared" si="15"/>
        <v>348993.02</v>
      </c>
    </row>
    <row r="130" spans="1:15" ht="17" x14ac:dyDescent="0.2">
      <c r="A130" s="22">
        <v>127</v>
      </c>
      <c r="B130" s="23">
        <v>44978</v>
      </c>
      <c r="C130" s="25" t="s">
        <v>217</v>
      </c>
      <c r="D130" s="24" t="s">
        <v>16</v>
      </c>
      <c r="E130" s="25" t="s">
        <v>48</v>
      </c>
      <c r="F130" s="25" t="s">
        <v>35</v>
      </c>
      <c r="G130" s="25" t="s">
        <v>19</v>
      </c>
      <c r="H130" s="25" t="str">
        <f t="shared" si="19"/>
        <v>Perishable</v>
      </c>
      <c r="I130" s="25" t="s">
        <v>20</v>
      </c>
      <c r="J130" s="25" t="str">
        <f t="shared" si="20"/>
        <v>Gold</v>
      </c>
      <c r="K130" s="25">
        <v>7</v>
      </c>
      <c r="L130" s="26">
        <f t="shared" si="23"/>
        <v>49999</v>
      </c>
      <c r="M130" s="32">
        <f t="shared" si="22"/>
        <v>0.02</v>
      </c>
      <c r="N130" s="25" t="str">
        <f t="shared" si="21"/>
        <v>10 Point</v>
      </c>
      <c r="O130" s="26">
        <f t="shared" si="15"/>
        <v>348993.02</v>
      </c>
    </row>
    <row r="131" spans="1:15" ht="17" x14ac:dyDescent="0.2">
      <c r="A131" s="22">
        <v>128</v>
      </c>
      <c r="B131" s="23">
        <v>44978</v>
      </c>
      <c r="C131" s="25" t="s">
        <v>218</v>
      </c>
      <c r="D131" s="24" t="s">
        <v>16</v>
      </c>
      <c r="E131" s="25" t="s">
        <v>48</v>
      </c>
      <c r="F131" s="25" t="s">
        <v>39</v>
      </c>
      <c r="G131" s="25" t="s">
        <v>19</v>
      </c>
      <c r="H131" s="25" t="str">
        <f t="shared" si="19"/>
        <v>Perishable</v>
      </c>
      <c r="I131" s="25" t="s">
        <v>20</v>
      </c>
      <c r="J131" s="25" t="str">
        <f t="shared" si="20"/>
        <v>Gold</v>
      </c>
      <c r="K131" s="25">
        <v>7</v>
      </c>
      <c r="L131" s="26">
        <f t="shared" si="23"/>
        <v>49999</v>
      </c>
      <c r="M131" s="32">
        <f t="shared" si="22"/>
        <v>0.02</v>
      </c>
      <c r="N131" s="25" t="str">
        <f t="shared" si="21"/>
        <v>5 Point</v>
      </c>
      <c r="O131" s="26">
        <f t="shared" si="15"/>
        <v>348993.02</v>
      </c>
    </row>
    <row r="132" spans="1:15" ht="17" x14ac:dyDescent="0.2">
      <c r="A132" s="22">
        <v>129</v>
      </c>
      <c r="B132" s="23">
        <v>44978</v>
      </c>
      <c r="C132" s="25" t="s">
        <v>219</v>
      </c>
      <c r="D132" s="24" t="s">
        <v>16</v>
      </c>
      <c r="E132" s="25" t="s">
        <v>48</v>
      </c>
      <c r="F132" s="25" t="s">
        <v>43</v>
      </c>
      <c r="G132" s="25" t="s">
        <v>80</v>
      </c>
      <c r="H132" s="25" t="str">
        <f t="shared" ref="H132:H163" si="24">VLOOKUP(LEFT(G132,2),Category,2,0)</f>
        <v>General Merchandise Product</v>
      </c>
      <c r="I132" s="25" t="s">
        <v>72</v>
      </c>
      <c r="J132" s="25" t="str">
        <f t="shared" ref="J132:J163" si="25">VLOOKUP(LEFT(F132,1),Barcode,2,0)</f>
        <v>Gold</v>
      </c>
      <c r="K132" s="25">
        <v>8</v>
      </c>
      <c r="L132" s="26">
        <f t="shared" si="23"/>
        <v>110500</v>
      </c>
      <c r="M132" s="32">
        <f t="shared" si="22"/>
        <v>0.02</v>
      </c>
      <c r="N132" s="25" t="str">
        <f t="shared" ref="N132:N163" si="26">HLOOKUP(VALUE(RIGHT(F132,2)),Point,2,0)</f>
        <v>15 Point</v>
      </c>
      <c r="O132" s="26">
        <f t="shared" si="15"/>
        <v>881790</v>
      </c>
    </row>
    <row r="133" spans="1:15" ht="17" x14ac:dyDescent="0.2">
      <c r="A133" s="22">
        <v>130</v>
      </c>
      <c r="B133" s="23">
        <v>44979</v>
      </c>
      <c r="C133" s="25" t="s">
        <v>220</v>
      </c>
      <c r="D133" s="24" t="s">
        <v>34</v>
      </c>
      <c r="E133" s="25" t="s">
        <v>48</v>
      </c>
      <c r="F133" s="25" t="s">
        <v>45</v>
      </c>
      <c r="G133" s="25" t="s">
        <v>61</v>
      </c>
      <c r="H133" s="25" t="str">
        <f t="shared" si="24"/>
        <v>General Merchandise Product</v>
      </c>
      <c r="I133" s="25" t="s">
        <v>64</v>
      </c>
      <c r="J133" s="25" t="str">
        <f t="shared" si="25"/>
        <v>Silver</v>
      </c>
      <c r="K133" s="25">
        <v>8</v>
      </c>
      <c r="L133" s="26">
        <f t="shared" si="23"/>
        <v>85000</v>
      </c>
      <c r="M133" s="32">
        <f t="shared" si="22"/>
        <v>0.02</v>
      </c>
      <c r="N133" s="25" t="str">
        <f t="shared" si="26"/>
        <v>15 Point</v>
      </c>
      <c r="O133" s="26">
        <f t="shared" ref="O133:O183" si="27">(K133*L133)-(L133*M133)</f>
        <v>678300</v>
      </c>
    </row>
    <row r="134" spans="1:15" ht="17" x14ac:dyDescent="0.2">
      <c r="A134" s="22">
        <v>131</v>
      </c>
      <c r="B134" s="23">
        <v>44979</v>
      </c>
      <c r="C134" s="25" t="s">
        <v>221</v>
      </c>
      <c r="D134" s="24" t="s">
        <v>34</v>
      </c>
      <c r="E134" s="25" t="s">
        <v>48</v>
      </c>
      <c r="F134" s="25" t="s">
        <v>49</v>
      </c>
      <c r="G134" s="25" t="s">
        <v>59</v>
      </c>
      <c r="H134" s="25" t="str">
        <f t="shared" si="24"/>
        <v>Food Product</v>
      </c>
      <c r="I134" s="25" t="s">
        <v>186</v>
      </c>
      <c r="J134" s="25" t="str">
        <f t="shared" si="25"/>
        <v>Silver</v>
      </c>
      <c r="K134" s="25">
        <v>9</v>
      </c>
      <c r="L134" s="26">
        <f t="shared" si="23"/>
        <v>75000</v>
      </c>
      <c r="M134" s="32">
        <f t="shared" si="22"/>
        <v>0.03</v>
      </c>
      <c r="N134" s="25" t="str">
        <f t="shared" si="26"/>
        <v>5 Point</v>
      </c>
      <c r="O134" s="26">
        <f t="shared" si="27"/>
        <v>672750</v>
      </c>
    </row>
    <row r="135" spans="1:15" ht="17" x14ac:dyDescent="0.2">
      <c r="A135" s="22">
        <v>132</v>
      </c>
      <c r="B135" s="23">
        <v>44979</v>
      </c>
      <c r="C135" s="25" t="s">
        <v>222</v>
      </c>
      <c r="D135" s="24" t="s">
        <v>34</v>
      </c>
      <c r="E135" s="25" t="s">
        <v>48</v>
      </c>
      <c r="F135" s="25" t="s">
        <v>51</v>
      </c>
      <c r="G135" s="25" t="s">
        <v>88</v>
      </c>
      <c r="H135" s="25" t="str">
        <f t="shared" si="24"/>
        <v>Food Product</v>
      </c>
      <c r="I135" s="25" t="s">
        <v>189</v>
      </c>
      <c r="J135" s="25" t="str">
        <f t="shared" si="25"/>
        <v>Silver</v>
      </c>
      <c r="K135" s="25">
        <v>12</v>
      </c>
      <c r="L135" s="26">
        <f t="shared" si="23"/>
        <v>120000</v>
      </c>
      <c r="M135" s="32">
        <f t="shared" si="22"/>
        <v>0.03</v>
      </c>
      <c r="N135" s="25" t="str">
        <f t="shared" si="26"/>
        <v>20 Point</v>
      </c>
      <c r="O135" s="26">
        <f t="shared" si="27"/>
        <v>1436400</v>
      </c>
    </row>
    <row r="136" spans="1:15" ht="17" x14ac:dyDescent="0.2">
      <c r="A136" s="22">
        <v>133</v>
      </c>
      <c r="B136" s="23">
        <v>44979</v>
      </c>
      <c r="C136" s="25" t="s">
        <v>223</v>
      </c>
      <c r="D136" s="24" t="s">
        <v>34</v>
      </c>
      <c r="E136" s="25" t="s">
        <v>48</v>
      </c>
      <c r="F136" s="25" t="s">
        <v>30</v>
      </c>
      <c r="G136" s="25" t="s">
        <v>56</v>
      </c>
      <c r="H136" s="25" t="str">
        <f t="shared" si="24"/>
        <v>Food Product</v>
      </c>
      <c r="I136" s="25" t="s">
        <v>92</v>
      </c>
      <c r="J136" s="25" t="str">
        <f t="shared" si="25"/>
        <v>Gold</v>
      </c>
      <c r="K136" s="25">
        <v>11</v>
      </c>
      <c r="L136" s="26">
        <f t="shared" si="23"/>
        <v>55000</v>
      </c>
      <c r="M136" s="32">
        <f t="shared" si="22"/>
        <v>0.03</v>
      </c>
      <c r="N136" s="25" t="str">
        <f t="shared" si="26"/>
        <v>5 Point</v>
      </c>
      <c r="O136" s="26">
        <f t="shared" si="27"/>
        <v>603350</v>
      </c>
    </row>
    <row r="137" spans="1:15" ht="17" x14ac:dyDescent="0.2">
      <c r="A137" s="22">
        <v>134</v>
      </c>
      <c r="B137" s="23">
        <v>44980</v>
      </c>
      <c r="C137" s="25" t="s">
        <v>224</v>
      </c>
      <c r="D137" s="24" t="s">
        <v>34</v>
      </c>
      <c r="E137" s="25" t="s">
        <v>48</v>
      </c>
      <c r="F137" s="25" t="s">
        <v>39</v>
      </c>
      <c r="G137" s="25" t="s">
        <v>56</v>
      </c>
      <c r="H137" s="25" t="str">
        <f t="shared" si="24"/>
        <v>Food Product</v>
      </c>
      <c r="I137" s="25" t="s">
        <v>92</v>
      </c>
      <c r="J137" s="25" t="str">
        <f t="shared" si="25"/>
        <v>Gold</v>
      </c>
      <c r="K137" s="25">
        <v>11</v>
      </c>
      <c r="L137" s="26">
        <f t="shared" si="23"/>
        <v>55000</v>
      </c>
      <c r="M137" s="32">
        <f t="shared" si="22"/>
        <v>0.03</v>
      </c>
      <c r="N137" s="25" t="str">
        <f t="shared" si="26"/>
        <v>5 Point</v>
      </c>
      <c r="O137" s="26">
        <f t="shared" si="27"/>
        <v>603350</v>
      </c>
    </row>
    <row r="138" spans="1:15" ht="17" x14ac:dyDescent="0.2">
      <c r="A138" s="22">
        <v>135</v>
      </c>
      <c r="B138" s="23">
        <v>44980</v>
      </c>
      <c r="C138" s="25" t="s">
        <v>225</v>
      </c>
      <c r="D138" s="24" t="s">
        <v>16</v>
      </c>
      <c r="E138" s="25" t="s">
        <v>48</v>
      </c>
      <c r="F138" s="25" t="s">
        <v>66</v>
      </c>
      <c r="G138" s="25" t="s">
        <v>56</v>
      </c>
      <c r="H138" s="25" t="str">
        <f t="shared" si="24"/>
        <v>Food Product</v>
      </c>
      <c r="I138" s="25" t="s">
        <v>92</v>
      </c>
      <c r="J138" s="25" t="str">
        <f t="shared" si="25"/>
        <v>Gold</v>
      </c>
      <c r="K138" s="25">
        <v>15</v>
      </c>
      <c r="L138" s="26">
        <f>INDEX($Z$8:$Z$37,MATCH(I138,$Y$8:$Y$37,0))</f>
        <v>55000</v>
      </c>
      <c r="M138" s="32">
        <f t="shared" si="22"/>
        <v>0.03</v>
      </c>
      <c r="N138" s="25" t="str">
        <f t="shared" si="26"/>
        <v>10 Point</v>
      </c>
      <c r="O138" s="26">
        <f t="shared" si="27"/>
        <v>823350</v>
      </c>
    </row>
    <row r="139" spans="1:15" ht="17" x14ac:dyDescent="0.2">
      <c r="A139" s="22">
        <v>136</v>
      </c>
      <c r="B139" s="23">
        <v>44980</v>
      </c>
      <c r="C139" s="25" t="s">
        <v>226</v>
      </c>
      <c r="D139" s="24" t="s">
        <v>16</v>
      </c>
      <c r="E139" s="25" t="s">
        <v>48</v>
      </c>
      <c r="F139" s="25" t="s">
        <v>69</v>
      </c>
      <c r="G139" s="25" t="s">
        <v>52</v>
      </c>
      <c r="H139" s="25" t="str">
        <f t="shared" si="24"/>
        <v>Food Product</v>
      </c>
      <c r="I139" s="25" t="s">
        <v>189</v>
      </c>
      <c r="J139" s="25" t="str">
        <f t="shared" si="25"/>
        <v>Gold</v>
      </c>
      <c r="K139" s="25">
        <v>13</v>
      </c>
      <c r="L139" s="26">
        <f t="shared" ref="L139:L159" si="28">INDEX($Z$8:$Z$37,MATCH(I139,$Y$8:$Y$37,0))</f>
        <v>120000</v>
      </c>
      <c r="M139" s="32">
        <f t="shared" si="22"/>
        <v>0.03</v>
      </c>
      <c r="N139" s="25" t="str">
        <f t="shared" si="26"/>
        <v>15 Point</v>
      </c>
      <c r="O139" s="26">
        <f t="shared" si="27"/>
        <v>1556400</v>
      </c>
    </row>
    <row r="140" spans="1:15" ht="17" x14ac:dyDescent="0.2">
      <c r="A140" s="22">
        <v>137</v>
      </c>
      <c r="B140" s="23">
        <v>44980</v>
      </c>
      <c r="C140" s="25" t="s">
        <v>227</v>
      </c>
      <c r="D140" s="24" t="s">
        <v>34</v>
      </c>
      <c r="E140" s="25" t="s">
        <v>48</v>
      </c>
      <c r="F140" s="25" t="s">
        <v>71</v>
      </c>
      <c r="G140" s="25" t="s">
        <v>52</v>
      </c>
      <c r="H140" s="25" t="str">
        <f t="shared" si="24"/>
        <v>Food Product</v>
      </c>
      <c r="I140" s="25" t="s">
        <v>189</v>
      </c>
      <c r="J140" s="25" t="str">
        <f t="shared" si="25"/>
        <v>Gold</v>
      </c>
      <c r="K140" s="25">
        <v>2</v>
      </c>
      <c r="L140" s="26">
        <f t="shared" si="28"/>
        <v>120000</v>
      </c>
      <c r="M140" s="32">
        <f t="shared" si="22"/>
        <v>0.02</v>
      </c>
      <c r="N140" s="25" t="str">
        <f t="shared" si="26"/>
        <v>5 Point</v>
      </c>
      <c r="O140" s="26">
        <f t="shared" si="27"/>
        <v>237600</v>
      </c>
    </row>
    <row r="141" spans="1:15" ht="17" x14ac:dyDescent="0.2">
      <c r="A141" s="22">
        <v>138</v>
      </c>
      <c r="B141" s="23">
        <v>44981</v>
      </c>
      <c r="C141" s="25" t="s">
        <v>228</v>
      </c>
      <c r="D141" s="24" t="s">
        <v>16</v>
      </c>
      <c r="E141" s="25" t="s">
        <v>48</v>
      </c>
      <c r="F141" s="25" t="s">
        <v>74</v>
      </c>
      <c r="G141" s="25" t="s">
        <v>103</v>
      </c>
      <c r="H141" s="25" t="str">
        <f t="shared" si="24"/>
        <v>Non Food Product</v>
      </c>
      <c r="I141" s="25" t="s">
        <v>137</v>
      </c>
      <c r="J141" s="25" t="str">
        <f t="shared" si="25"/>
        <v>Platinum</v>
      </c>
      <c r="K141" s="25">
        <v>2</v>
      </c>
      <c r="L141" s="26">
        <f t="shared" si="28"/>
        <v>115000</v>
      </c>
      <c r="M141" s="32">
        <f t="shared" si="22"/>
        <v>0.02</v>
      </c>
      <c r="N141" s="25" t="str">
        <f t="shared" si="26"/>
        <v>25 Point</v>
      </c>
      <c r="O141" s="26">
        <f t="shared" si="27"/>
        <v>227700</v>
      </c>
    </row>
    <row r="142" spans="1:15" ht="17" x14ac:dyDescent="0.2">
      <c r="A142" s="22">
        <v>139</v>
      </c>
      <c r="B142" s="23">
        <v>44981</v>
      </c>
      <c r="C142" s="25" t="s">
        <v>229</v>
      </c>
      <c r="D142" s="24" t="s">
        <v>16</v>
      </c>
      <c r="E142" s="25" t="s">
        <v>48</v>
      </c>
      <c r="F142" s="25" t="s">
        <v>76</v>
      </c>
      <c r="G142" s="25" t="s">
        <v>103</v>
      </c>
      <c r="H142" s="25" t="str">
        <f t="shared" si="24"/>
        <v>Non Food Product</v>
      </c>
      <c r="I142" s="25" t="s">
        <v>137</v>
      </c>
      <c r="J142" s="25" t="str">
        <f t="shared" si="25"/>
        <v>Platinum</v>
      </c>
      <c r="K142" s="25">
        <v>2</v>
      </c>
      <c r="L142" s="26">
        <f t="shared" si="28"/>
        <v>115000</v>
      </c>
      <c r="M142" s="32">
        <f t="shared" si="22"/>
        <v>0.02</v>
      </c>
      <c r="N142" s="25" t="str">
        <f t="shared" si="26"/>
        <v>25 Point</v>
      </c>
      <c r="O142" s="26">
        <f t="shared" si="27"/>
        <v>227700</v>
      </c>
    </row>
    <row r="143" spans="1:15" ht="17" x14ac:dyDescent="0.2">
      <c r="A143" s="22">
        <v>140</v>
      </c>
      <c r="B143" s="23">
        <v>44981</v>
      </c>
      <c r="C143" s="25" t="s">
        <v>230</v>
      </c>
      <c r="D143" s="24" t="s">
        <v>16</v>
      </c>
      <c r="E143" s="25" t="s">
        <v>48</v>
      </c>
      <c r="F143" s="25" t="s">
        <v>30</v>
      </c>
      <c r="G143" s="25" t="s">
        <v>19</v>
      </c>
      <c r="H143" s="25" t="str">
        <f t="shared" si="24"/>
        <v>Perishable</v>
      </c>
      <c r="I143" s="25" t="s">
        <v>32</v>
      </c>
      <c r="J143" s="25" t="str">
        <f t="shared" si="25"/>
        <v>Gold</v>
      </c>
      <c r="K143" s="25">
        <v>3</v>
      </c>
      <c r="L143" s="26">
        <f t="shared" si="28"/>
        <v>25500</v>
      </c>
      <c r="M143" s="32">
        <f t="shared" si="22"/>
        <v>0.02</v>
      </c>
      <c r="N143" s="25" t="str">
        <f t="shared" si="26"/>
        <v>5 Point</v>
      </c>
      <c r="O143" s="26">
        <f t="shared" si="27"/>
        <v>75990</v>
      </c>
    </row>
    <row r="144" spans="1:15" ht="17" x14ac:dyDescent="0.2">
      <c r="A144" s="22">
        <v>141</v>
      </c>
      <c r="B144" s="23">
        <v>44982</v>
      </c>
      <c r="C144" s="25" t="s">
        <v>231</v>
      </c>
      <c r="D144" s="24" t="s">
        <v>16</v>
      </c>
      <c r="E144" s="25" t="s">
        <v>198</v>
      </c>
      <c r="F144" s="25" t="s">
        <v>82</v>
      </c>
      <c r="G144" s="25" t="s">
        <v>31</v>
      </c>
      <c r="H144" s="25" t="str">
        <f t="shared" si="24"/>
        <v>Perishable</v>
      </c>
      <c r="I144" s="25" t="s">
        <v>32</v>
      </c>
      <c r="J144" s="25" t="str">
        <f t="shared" si="25"/>
        <v>Gold</v>
      </c>
      <c r="K144" s="25">
        <v>4</v>
      </c>
      <c r="L144" s="26">
        <f t="shared" si="28"/>
        <v>25500</v>
      </c>
      <c r="M144" s="32">
        <f t="shared" si="22"/>
        <v>0.02</v>
      </c>
      <c r="N144" s="25" t="str">
        <f t="shared" si="26"/>
        <v>25 Point</v>
      </c>
      <c r="O144" s="26">
        <f t="shared" si="27"/>
        <v>101490</v>
      </c>
    </row>
    <row r="145" spans="1:15" ht="17" x14ac:dyDescent="0.2">
      <c r="A145" s="22">
        <v>142</v>
      </c>
      <c r="B145" s="23">
        <v>44982</v>
      </c>
      <c r="C145" s="25" t="s">
        <v>232</v>
      </c>
      <c r="D145" s="24" t="s">
        <v>34</v>
      </c>
      <c r="E145" s="25" t="s">
        <v>198</v>
      </c>
      <c r="F145" s="25" t="s">
        <v>82</v>
      </c>
      <c r="G145" s="25" t="s">
        <v>36</v>
      </c>
      <c r="H145" s="25" t="str">
        <f t="shared" si="24"/>
        <v>Non Food Product</v>
      </c>
      <c r="I145" s="25" t="s">
        <v>37</v>
      </c>
      <c r="J145" s="25" t="str">
        <f t="shared" si="25"/>
        <v>Gold</v>
      </c>
      <c r="K145" s="25">
        <v>5</v>
      </c>
      <c r="L145" s="26">
        <f t="shared" si="28"/>
        <v>195000</v>
      </c>
      <c r="M145" s="32">
        <f t="shared" si="22"/>
        <v>0.02</v>
      </c>
      <c r="N145" s="25" t="str">
        <f t="shared" si="26"/>
        <v>25 Point</v>
      </c>
      <c r="O145" s="26">
        <f t="shared" si="27"/>
        <v>971100</v>
      </c>
    </row>
    <row r="146" spans="1:15" ht="17" x14ac:dyDescent="0.2">
      <c r="A146" s="22">
        <v>143</v>
      </c>
      <c r="B146" s="23">
        <v>44982</v>
      </c>
      <c r="C146" s="25" t="s">
        <v>233</v>
      </c>
      <c r="D146" s="24" t="s">
        <v>34</v>
      </c>
      <c r="E146" s="25" t="s">
        <v>198</v>
      </c>
      <c r="F146" s="25" t="s">
        <v>87</v>
      </c>
      <c r="G146" s="25" t="s">
        <v>40</v>
      </c>
      <c r="H146" s="25" t="str">
        <f t="shared" si="24"/>
        <v>Non Food Product</v>
      </c>
      <c r="I146" s="25" t="s">
        <v>106</v>
      </c>
      <c r="J146" s="25" t="str">
        <f t="shared" si="25"/>
        <v>Gold</v>
      </c>
      <c r="K146" s="25">
        <v>7</v>
      </c>
      <c r="L146" s="26">
        <f t="shared" si="28"/>
        <v>45500</v>
      </c>
      <c r="M146" s="32">
        <f t="shared" si="22"/>
        <v>0.02</v>
      </c>
      <c r="N146" s="25" t="str">
        <f t="shared" si="26"/>
        <v>25 Point</v>
      </c>
      <c r="O146" s="26">
        <f t="shared" si="27"/>
        <v>317590</v>
      </c>
    </row>
    <row r="147" spans="1:15" ht="17" x14ac:dyDescent="0.2">
      <c r="A147" s="22">
        <v>144</v>
      </c>
      <c r="B147" s="23">
        <v>44982</v>
      </c>
      <c r="C147" s="25" t="s">
        <v>234</v>
      </c>
      <c r="D147" s="24" t="s">
        <v>34</v>
      </c>
      <c r="E147" s="25" t="s">
        <v>198</v>
      </c>
      <c r="F147" s="25" t="s">
        <v>45</v>
      </c>
      <c r="G147" s="25" t="s">
        <v>40</v>
      </c>
      <c r="H147" s="25" t="str">
        <f t="shared" si="24"/>
        <v>Non Food Product</v>
      </c>
      <c r="I147" s="25" t="s">
        <v>106</v>
      </c>
      <c r="J147" s="25" t="str">
        <f t="shared" si="25"/>
        <v>Silver</v>
      </c>
      <c r="K147" s="25">
        <v>7</v>
      </c>
      <c r="L147" s="26">
        <f t="shared" si="28"/>
        <v>45500</v>
      </c>
      <c r="M147" s="32">
        <f t="shared" si="22"/>
        <v>0.02</v>
      </c>
      <c r="N147" s="25" t="str">
        <f t="shared" si="26"/>
        <v>15 Point</v>
      </c>
      <c r="O147" s="26">
        <f t="shared" si="27"/>
        <v>317590</v>
      </c>
    </row>
    <row r="148" spans="1:15" ht="17" x14ac:dyDescent="0.2">
      <c r="A148" s="22">
        <v>145</v>
      </c>
      <c r="B148" s="23">
        <v>44982</v>
      </c>
      <c r="C148" s="25" t="s">
        <v>235</v>
      </c>
      <c r="D148" s="24" t="s">
        <v>34</v>
      </c>
      <c r="E148" s="25" t="s">
        <v>198</v>
      </c>
      <c r="F148" s="25" t="s">
        <v>45</v>
      </c>
      <c r="G148" s="25" t="s">
        <v>46</v>
      </c>
      <c r="H148" s="25" t="str">
        <f t="shared" si="24"/>
        <v>Non Food Product</v>
      </c>
      <c r="I148" s="25" t="s">
        <v>106</v>
      </c>
      <c r="J148" s="25" t="str">
        <f t="shared" si="25"/>
        <v>Silver</v>
      </c>
      <c r="K148" s="25">
        <v>5</v>
      </c>
      <c r="L148" s="26">
        <f t="shared" si="28"/>
        <v>45500</v>
      </c>
      <c r="M148" s="32">
        <f t="shared" ref="M148:M183" si="29">IF(K148&gt;8,3%,2%)</f>
        <v>0.02</v>
      </c>
      <c r="N148" s="25" t="str">
        <f t="shared" si="26"/>
        <v>15 Point</v>
      </c>
      <c r="O148" s="26">
        <f t="shared" si="27"/>
        <v>226590</v>
      </c>
    </row>
    <row r="149" spans="1:15" ht="17" x14ac:dyDescent="0.2">
      <c r="A149" s="22">
        <v>146</v>
      </c>
      <c r="B149" s="23">
        <v>44983</v>
      </c>
      <c r="C149" s="25" t="s">
        <v>236</v>
      </c>
      <c r="D149" s="24" t="s">
        <v>16</v>
      </c>
      <c r="E149" s="25" t="s">
        <v>198</v>
      </c>
      <c r="F149" s="25" t="s">
        <v>76</v>
      </c>
      <c r="G149" s="25" t="s">
        <v>36</v>
      </c>
      <c r="H149" s="25" t="str">
        <f t="shared" si="24"/>
        <v>Non Food Product</v>
      </c>
      <c r="I149" s="25" t="s">
        <v>37</v>
      </c>
      <c r="J149" s="25" t="str">
        <f t="shared" si="25"/>
        <v>Platinum</v>
      </c>
      <c r="K149" s="25">
        <v>4</v>
      </c>
      <c r="L149" s="26">
        <f t="shared" si="28"/>
        <v>195000</v>
      </c>
      <c r="M149" s="32">
        <f t="shared" si="29"/>
        <v>0.02</v>
      </c>
      <c r="N149" s="25" t="str">
        <f t="shared" si="26"/>
        <v>25 Point</v>
      </c>
      <c r="O149" s="26">
        <f t="shared" si="27"/>
        <v>776100</v>
      </c>
    </row>
    <row r="150" spans="1:15" ht="17" x14ac:dyDescent="0.2">
      <c r="A150" s="22">
        <v>147</v>
      </c>
      <c r="B150" s="23">
        <v>44983</v>
      </c>
      <c r="C150" s="25" t="s">
        <v>237</v>
      </c>
      <c r="D150" s="24" t="s">
        <v>34</v>
      </c>
      <c r="E150" s="25" t="s">
        <v>22</v>
      </c>
      <c r="F150" s="25" t="s">
        <v>55</v>
      </c>
      <c r="G150" s="25" t="s">
        <v>52</v>
      </c>
      <c r="H150" s="25" t="str">
        <f t="shared" si="24"/>
        <v>Food Product</v>
      </c>
      <c r="I150" s="25" t="s">
        <v>186</v>
      </c>
      <c r="J150" s="25" t="str">
        <f t="shared" si="25"/>
        <v>Silver</v>
      </c>
      <c r="K150" s="25">
        <v>6</v>
      </c>
      <c r="L150" s="26">
        <f t="shared" si="28"/>
        <v>75000</v>
      </c>
      <c r="M150" s="32">
        <f t="shared" si="29"/>
        <v>0.02</v>
      </c>
      <c r="N150" s="25" t="str">
        <f t="shared" si="26"/>
        <v>5 Point</v>
      </c>
      <c r="O150" s="26">
        <f t="shared" si="27"/>
        <v>448500</v>
      </c>
    </row>
    <row r="151" spans="1:15" ht="17" x14ac:dyDescent="0.2">
      <c r="A151" s="22">
        <v>148</v>
      </c>
      <c r="B151" s="23">
        <v>44983</v>
      </c>
      <c r="C151" s="25" t="s">
        <v>238</v>
      </c>
      <c r="D151" s="24" t="s">
        <v>34</v>
      </c>
      <c r="E151" s="25" t="s">
        <v>198</v>
      </c>
      <c r="F151" s="25" t="s">
        <v>55</v>
      </c>
      <c r="G151" s="25" t="s">
        <v>56</v>
      </c>
      <c r="H151" s="25" t="str">
        <f t="shared" si="24"/>
        <v>Food Product</v>
      </c>
      <c r="I151" s="25" t="s">
        <v>92</v>
      </c>
      <c r="J151" s="25" t="str">
        <f t="shared" si="25"/>
        <v>Silver</v>
      </c>
      <c r="K151" s="25">
        <v>8</v>
      </c>
      <c r="L151" s="26">
        <f t="shared" si="28"/>
        <v>55000</v>
      </c>
      <c r="M151" s="32">
        <f t="shared" si="29"/>
        <v>0.02</v>
      </c>
      <c r="N151" s="25" t="str">
        <f t="shared" si="26"/>
        <v>5 Point</v>
      </c>
      <c r="O151" s="26">
        <f t="shared" si="27"/>
        <v>438900</v>
      </c>
    </row>
    <row r="152" spans="1:15" ht="17" x14ac:dyDescent="0.2">
      <c r="A152" s="22">
        <v>149</v>
      </c>
      <c r="B152" s="23">
        <v>44983</v>
      </c>
      <c r="C152" s="25" t="s">
        <v>239</v>
      </c>
      <c r="D152" s="24" t="s">
        <v>16</v>
      </c>
      <c r="E152" s="25" t="s">
        <v>198</v>
      </c>
      <c r="F152" s="25" t="s">
        <v>82</v>
      </c>
      <c r="G152" s="25" t="s">
        <v>59</v>
      </c>
      <c r="H152" s="25" t="str">
        <f t="shared" si="24"/>
        <v>Food Product</v>
      </c>
      <c r="I152" s="25" t="s">
        <v>189</v>
      </c>
      <c r="J152" s="25" t="str">
        <f t="shared" si="25"/>
        <v>Gold</v>
      </c>
      <c r="K152" s="25">
        <v>8</v>
      </c>
      <c r="L152" s="26">
        <f t="shared" si="28"/>
        <v>120000</v>
      </c>
      <c r="M152" s="32">
        <f t="shared" si="29"/>
        <v>0.02</v>
      </c>
      <c r="N152" s="25" t="str">
        <f t="shared" si="26"/>
        <v>25 Point</v>
      </c>
      <c r="O152" s="26">
        <f t="shared" si="27"/>
        <v>957600</v>
      </c>
    </row>
    <row r="153" spans="1:15" ht="17" x14ac:dyDescent="0.2">
      <c r="A153" s="22">
        <v>150</v>
      </c>
      <c r="B153" s="23">
        <v>44984</v>
      </c>
      <c r="C153" s="25" t="s">
        <v>240</v>
      </c>
      <c r="D153" s="24" t="s">
        <v>34</v>
      </c>
      <c r="E153" s="25" t="s">
        <v>22</v>
      </c>
      <c r="F153" s="25" t="s">
        <v>76</v>
      </c>
      <c r="G153" s="25" t="s">
        <v>31</v>
      </c>
      <c r="H153" s="25" t="str">
        <f t="shared" si="24"/>
        <v>Perishable</v>
      </c>
      <c r="I153" s="25" t="s">
        <v>32</v>
      </c>
      <c r="J153" s="25" t="str">
        <f t="shared" si="25"/>
        <v>Platinum</v>
      </c>
      <c r="K153" s="25">
        <v>9</v>
      </c>
      <c r="L153" s="26">
        <f t="shared" si="28"/>
        <v>25500</v>
      </c>
      <c r="M153" s="32">
        <f t="shared" si="29"/>
        <v>0.03</v>
      </c>
      <c r="N153" s="25" t="str">
        <f t="shared" si="26"/>
        <v>25 Point</v>
      </c>
      <c r="O153" s="26">
        <f t="shared" si="27"/>
        <v>228735</v>
      </c>
    </row>
    <row r="154" spans="1:15" ht="17" x14ac:dyDescent="0.2">
      <c r="A154" s="22">
        <v>151</v>
      </c>
      <c r="B154" s="23">
        <v>44984</v>
      </c>
      <c r="C154" s="25" t="s">
        <v>241</v>
      </c>
      <c r="D154" s="24" t="s">
        <v>16</v>
      </c>
      <c r="E154" s="25" t="s">
        <v>22</v>
      </c>
      <c r="F154" s="25" t="s">
        <v>45</v>
      </c>
      <c r="G154" s="25" t="s">
        <v>59</v>
      </c>
      <c r="H154" s="25" t="str">
        <f t="shared" si="24"/>
        <v>Food Product</v>
      </c>
      <c r="I154" s="25" t="s">
        <v>189</v>
      </c>
      <c r="J154" s="25" t="str">
        <f t="shared" si="25"/>
        <v>Silver</v>
      </c>
      <c r="K154" s="25">
        <v>11</v>
      </c>
      <c r="L154" s="26">
        <f t="shared" si="28"/>
        <v>120000</v>
      </c>
      <c r="M154" s="32">
        <f t="shared" si="29"/>
        <v>0.03</v>
      </c>
      <c r="N154" s="25" t="str">
        <f t="shared" si="26"/>
        <v>15 Point</v>
      </c>
      <c r="O154" s="26">
        <f t="shared" si="27"/>
        <v>1316400</v>
      </c>
    </row>
    <row r="155" spans="1:15" ht="17" x14ac:dyDescent="0.2">
      <c r="A155" s="22">
        <v>152</v>
      </c>
      <c r="B155" s="23">
        <v>44984</v>
      </c>
      <c r="C155" s="25" t="s">
        <v>242</v>
      </c>
      <c r="D155" s="24" t="s">
        <v>16</v>
      </c>
      <c r="E155" s="25" t="s">
        <v>22</v>
      </c>
      <c r="F155" s="25" t="s">
        <v>45</v>
      </c>
      <c r="G155" s="25" t="s">
        <v>52</v>
      </c>
      <c r="H155" s="25" t="str">
        <f t="shared" si="24"/>
        <v>Food Product</v>
      </c>
      <c r="I155" s="25" t="s">
        <v>92</v>
      </c>
      <c r="J155" s="25" t="str">
        <f t="shared" si="25"/>
        <v>Silver</v>
      </c>
      <c r="K155" s="25">
        <v>10</v>
      </c>
      <c r="L155" s="26">
        <f t="shared" si="28"/>
        <v>55000</v>
      </c>
      <c r="M155" s="32">
        <f t="shared" si="29"/>
        <v>0.03</v>
      </c>
      <c r="N155" s="25" t="str">
        <f t="shared" si="26"/>
        <v>15 Point</v>
      </c>
      <c r="O155" s="26">
        <f t="shared" si="27"/>
        <v>548350</v>
      </c>
    </row>
    <row r="156" spans="1:15" ht="17" x14ac:dyDescent="0.2">
      <c r="A156" s="22">
        <v>153</v>
      </c>
      <c r="B156" s="23">
        <v>44984</v>
      </c>
      <c r="C156" s="25" t="s">
        <v>243</v>
      </c>
      <c r="D156" s="24" t="s">
        <v>16</v>
      </c>
      <c r="E156" s="25" t="s">
        <v>198</v>
      </c>
      <c r="F156" s="25" t="s">
        <v>82</v>
      </c>
      <c r="G156" s="25" t="s">
        <v>59</v>
      </c>
      <c r="H156" s="25" t="str">
        <f t="shared" si="24"/>
        <v>Food Product</v>
      </c>
      <c r="I156" s="25" t="s">
        <v>189</v>
      </c>
      <c r="J156" s="25" t="str">
        <f t="shared" si="25"/>
        <v>Gold</v>
      </c>
      <c r="K156" s="25">
        <v>9</v>
      </c>
      <c r="L156" s="26">
        <f t="shared" si="28"/>
        <v>120000</v>
      </c>
      <c r="M156" s="32">
        <f t="shared" si="29"/>
        <v>0.03</v>
      </c>
      <c r="N156" s="25" t="str">
        <f t="shared" si="26"/>
        <v>25 Point</v>
      </c>
      <c r="O156" s="26">
        <f t="shared" si="27"/>
        <v>1076400</v>
      </c>
    </row>
    <row r="157" spans="1:15" ht="17" x14ac:dyDescent="0.2">
      <c r="A157" s="22">
        <v>154</v>
      </c>
      <c r="B157" s="23">
        <v>44985</v>
      </c>
      <c r="C157" s="25" t="s">
        <v>244</v>
      </c>
      <c r="D157" s="24" t="s">
        <v>16</v>
      </c>
      <c r="E157" s="25" t="s">
        <v>198</v>
      </c>
      <c r="F157" s="25" t="s">
        <v>82</v>
      </c>
      <c r="G157" s="25" t="s">
        <v>67</v>
      </c>
      <c r="H157" s="25" t="str">
        <f t="shared" si="24"/>
        <v>General Merchandise Product</v>
      </c>
      <c r="I157" s="25" t="s">
        <v>62</v>
      </c>
      <c r="J157" s="25" t="str">
        <f t="shared" si="25"/>
        <v>Gold</v>
      </c>
      <c r="K157" s="25">
        <v>5</v>
      </c>
      <c r="L157" s="26">
        <f t="shared" si="28"/>
        <v>75000</v>
      </c>
      <c r="M157" s="32">
        <f t="shared" si="29"/>
        <v>0.02</v>
      </c>
      <c r="N157" s="25" t="str">
        <f t="shared" si="26"/>
        <v>25 Point</v>
      </c>
      <c r="O157" s="26">
        <f t="shared" si="27"/>
        <v>373500</v>
      </c>
    </row>
    <row r="158" spans="1:15" ht="17" x14ac:dyDescent="0.2">
      <c r="A158" s="22">
        <v>155</v>
      </c>
      <c r="B158" s="23">
        <v>44985</v>
      </c>
      <c r="C158" s="25" t="s">
        <v>245</v>
      </c>
      <c r="D158" s="24" t="s">
        <v>16</v>
      </c>
      <c r="E158" s="25" t="s">
        <v>198</v>
      </c>
      <c r="F158" s="25" t="s">
        <v>76</v>
      </c>
      <c r="G158" s="25" t="s">
        <v>67</v>
      </c>
      <c r="H158" s="25" t="str">
        <f t="shared" si="24"/>
        <v>General Merchandise Product</v>
      </c>
      <c r="I158" s="25" t="s">
        <v>64</v>
      </c>
      <c r="J158" s="25" t="str">
        <f t="shared" si="25"/>
        <v>Platinum</v>
      </c>
      <c r="K158" s="25">
        <v>5</v>
      </c>
      <c r="L158" s="26">
        <f t="shared" si="28"/>
        <v>85000</v>
      </c>
      <c r="M158" s="32">
        <f t="shared" si="29"/>
        <v>0.02</v>
      </c>
      <c r="N158" s="25" t="str">
        <f t="shared" si="26"/>
        <v>25 Point</v>
      </c>
      <c r="O158" s="26">
        <f t="shared" si="27"/>
        <v>423300</v>
      </c>
    </row>
    <row r="159" spans="1:15" ht="17" x14ac:dyDescent="0.2">
      <c r="A159" s="22">
        <v>156</v>
      </c>
      <c r="B159" s="23">
        <v>44985</v>
      </c>
      <c r="C159" s="25" t="s">
        <v>246</v>
      </c>
      <c r="D159" s="24" t="s">
        <v>34</v>
      </c>
      <c r="E159" s="25" t="s">
        <v>198</v>
      </c>
      <c r="F159" s="25" t="s">
        <v>76</v>
      </c>
      <c r="G159" s="25" t="s">
        <v>59</v>
      </c>
      <c r="H159" s="25" t="str">
        <f t="shared" si="24"/>
        <v>Food Product</v>
      </c>
      <c r="I159" s="25" t="s">
        <v>92</v>
      </c>
      <c r="J159" s="25" t="str">
        <f t="shared" si="25"/>
        <v>Platinum</v>
      </c>
      <c r="K159" s="25">
        <v>3</v>
      </c>
      <c r="L159" s="26">
        <f t="shared" si="28"/>
        <v>55000</v>
      </c>
      <c r="M159" s="32">
        <f t="shared" si="29"/>
        <v>0.02</v>
      </c>
      <c r="N159" s="25" t="str">
        <f t="shared" si="26"/>
        <v>25 Point</v>
      </c>
      <c r="O159" s="26">
        <f t="shared" si="27"/>
        <v>163900</v>
      </c>
    </row>
    <row r="160" spans="1:15" ht="17" x14ac:dyDescent="0.2">
      <c r="A160" s="22">
        <v>157</v>
      </c>
      <c r="B160" s="23">
        <v>44985</v>
      </c>
      <c r="C160" s="25" t="s">
        <v>247</v>
      </c>
      <c r="D160" s="24" t="s">
        <v>16</v>
      </c>
      <c r="E160" s="25" t="s">
        <v>22</v>
      </c>
      <c r="F160" s="25" t="s">
        <v>82</v>
      </c>
      <c r="G160" s="25" t="s">
        <v>31</v>
      </c>
      <c r="H160" s="25" t="str">
        <f t="shared" si="24"/>
        <v>Perishable</v>
      </c>
      <c r="I160" s="25" t="s">
        <v>32</v>
      </c>
      <c r="J160" s="25" t="str">
        <f t="shared" si="25"/>
        <v>Gold</v>
      </c>
      <c r="K160" s="25">
        <v>2</v>
      </c>
      <c r="L160" s="26">
        <f>INDEX($Z$8:$Z$37,MATCH(I160,$Y$8:$Y$37,0))</f>
        <v>25500</v>
      </c>
      <c r="M160" s="32">
        <f t="shared" si="29"/>
        <v>0.02</v>
      </c>
      <c r="N160" s="25" t="str">
        <f t="shared" si="26"/>
        <v>25 Point</v>
      </c>
      <c r="O160" s="26">
        <f t="shared" si="27"/>
        <v>50490</v>
      </c>
    </row>
    <row r="161" spans="1:15" ht="17" x14ac:dyDescent="0.2">
      <c r="A161" s="22">
        <v>158</v>
      </c>
      <c r="B161" s="23">
        <v>44985</v>
      </c>
      <c r="C161" s="25" t="s">
        <v>248</v>
      </c>
      <c r="D161" s="24" t="s">
        <v>16</v>
      </c>
      <c r="E161" s="25" t="s">
        <v>22</v>
      </c>
      <c r="F161" s="25" t="s">
        <v>82</v>
      </c>
      <c r="G161" s="25" t="s">
        <v>67</v>
      </c>
      <c r="H161" s="25" t="str">
        <f t="shared" si="24"/>
        <v>General Merchandise Product</v>
      </c>
      <c r="I161" s="25" t="s">
        <v>62</v>
      </c>
      <c r="J161" s="25" t="str">
        <f t="shared" si="25"/>
        <v>Gold</v>
      </c>
      <c r="K161" s="25">
        <v>2</v>
      </c>
      <c r="L161" s="26">
        <f t="shared" ref="L161:L166" si="30">INDEX($Z$8:$Z$37,MATCH(I161,$Y$8:$Y$37,0))</f>
        <v>75000</v>
      </c>
      <c r="M161" s="32">
        <f t="shared" si="29"/>
        <v>0.02</v>
      </c>
      <c r="N161" s="25" t="str">
        <f t="shared" si="26"/>
        <v>25 Point</v>
      </c>
      <c r="O161" s="26">
        <f t="shared" si="27"/>
        <v>148500</v>
      </c>
    </row>
    <row r="162" spans="1:15" ht="17" x14ac:dyDescent="0.2">
      <c r="A162" s="22">
        <v>159</v>
      </c>
      <c r="B162" s="23">
        <v>44985</v>
      </c>
      <c r="C162" s="25" t="s">
        <v>249</v>
      </c>
      <c r="D162" s="24" t="s">
        <v>34</v>
      </c>
      <c r="E162" s="25" t="s">
        <v>198</v>
      </c>
      <c r="F162" s="25" t="s">
        <v>82</v>
      </c>
      <c r="G162" s="25" t="s">
        <v>31</v>
      </c>
      <c r="H162" s="25" t="str">
        <f t="shared" si="24"/>
        <v>Perishable</v>
      </c>
      <c r="I162" s="25" t="s">
        <v>25</v>
      </c>
      <c r="J162" s="25" t="str">
        <f t="shared" si="25"/>
        <v>Gold</v>
      </c>
      <c r="K162" s="25">
        <v>2</v>
      </c>
      <c r="L162" s="26">
        <f t="shared" si="30"/>
        <v>69999</v>
      </c>
      <c r="M162" s="32">
        <f t="shared" si="29"/>
        <v>0.02</v>
      </c>
      <c r="N162" s="25" t="str">
        <f t="shared" si="26"/>
        <v>25 Point</v>
      </c>
      <c r="O162" s="26">
        <f t="shared" si="27"/>
        <v>138598.01999999999</v>
      </c>
    </row>
    <row r="163" spans="1:15" ht="17" x14ac:dyDescent="0.2">
      <c r="A163" s="22">
        <v>160</v>
      </c>
      <c r="B163" s="23">
        <v>44986</v>
      </c>
      <c r="C163" s="25" t="s">
        <v>250</v>
      </c>
      <c r="D163" s="24" t="s">
        <v>34</v>
      </c>
      <c r="E163" s="25" t="s">
        <v>22</v>
      </c>
      <c r="F163" s="25" t="s">
        <v>76</v>
      </c>
      <c r="G163" s="25" t="s">
        <v>31</v>
      </c>
      <c r="H163" s="25" t="str">
        <f t="shared" si="24"/>
        <v>Perishable</v>
      </c>
      <c r="I163" s="25" t="s">
        <v>32</v>
      </c>
      <c r="J163" s="25" t="str">
        <f t="shared" si="25"/>
        <v>Platinum</v>
      </c>
      <c r="K163" s="25">
        <v>4</v>
      </c>
      <c r="L163" s="26">
        <f t="shared" si="30"/>
        <v>25500</v>
      </c>
      <c r="M163" s="32">
        <f t="shared" si="29"/>
        <v>0.02</v>
      </c>
      <c r="N163" s="25" t="str">
        <f t="shared" si="26"/>
        <v>25 Point</v>
      </c>
      <c r="O163" s="26">
        <f t="shared" si="27"/>
        <v>101490</v>
      </c>
    </row>
    <row r="164" spans="1:15" ht="17" x14ac:dyDescent="0.2">
      <c r="A164" s="22">
        <v>161</v>
      </c>
      <c r="B164" s="23">
        <v>44986</v>
      </c>
      <c r="C164" s="25" t="s">
        <v>251</v>
      </c>
      <c r="D164" s="24" t="s">
        <v>16</v>
      </c>
      <c r="E164" s="25" t="s">
        <v>198</v>
      </c>
      <c r="F164" s="25" t="s">
        <v>76</v>
      </c>
      <c r="G164" s="25" t="s">
        <v>31</v>
      </c>
      <c r="H164" s="25" t="str">
        <f t="shared" ref="H164:H183" si="31">VLOOKUP(LEFT(G164,2),Category,2,0)</f>
        <v>Perishable</v>
      </c>
      <c r="I164" s="25" t="s">
        <v>32</v>
      </c>
      <c r="J164" s="25" t="str">
        <f t="shared" ref="J164:J183" si="32">VLOOKUP(LEFT(F164,1),Barcode,2,0)</f>
        <v>Platinum</v>
      </c>
      <c r="K164" s="25">
        <v>5</v>
      </c>
      <c r="L164" s="26">
        <f t="shared" si="30"/>
        <v>25500</v>
      </c>
      <c r="M164" s="32">
        <f t="shared" si="29"/>
        <v>0.02</v>
      </c>
      <c r="N164" s="25" t="str">
        <f t="shared" ref="N164:N183" si="33">HLOOKUP(VALUE(RIGHT(F164,2)),Point,2,0)</f>
        <v>25 Point</v>
      </c>
      <c r="O164" s="26">
        <f t="shared" si="27"/>
        <v>126990</v>
      </c>
    </row>
    <row r="165" spans="1:15" ht="17" x14ac:dyDescent="0.2">
      <c r="A165" s="22">
        <v>162</v>
      </c>
      <c r="B165" s="23">
        <v>44986</v>
      </c>
      <c r="C165" s="25" t="s">
        <v>252</v>
      </c>
      <c r="D165" s="24" t="s">
        <v>34</v>
      </c>
      <c r="E165" s="25" t="s">
        <v>198</v>
      </c>
      <c r="F165" s="25" t="s">
        <v>55</v>
      </c>
      <c r="G165" s="25" t="s">
        <v>59</v>
      </c>
      <c r="H165" s="25" t="str">
        <f t="shared" si="31"/>
        <v>Food Product</v>
      </c>
      <c r="I165" s="25" t="s">
        <v>189</v>
      </c>
      <c r="J165" s="25" t="str">
        <f t="shared" si="32"/>
        <v>Silver</v>
      </c>
      <c r="K165" s="25">
        <v>5</v>
      </c>
      <c r="L165" s="26">
        <f t="shared" si="30"/>
        <v>120000</v>
      </c>
      <c r="M165" s="32">
        <f t="shared" si="29"/>
        <v>0.02</v>
      </c>
      <c r="N165" s="25" t="str">
        <f t="shared" si="33"/>
        <v>5 Point</v>
      </c>
      <c r="O165" s="26">
        <f t="shared" si="27"/>
        <v>597600</v>
      </c>
    </row>
    <row r="166" spans="1:15" ht="17" x14ac:dyDescent="0.2">
      <c r="A166" s="22">
        <v>163</v>
      </c>
      <c r="B166" s="23">
        <v>44986</v>
      </c>
      <c r="C166" s="25" t="s">
        <v>253</v>
      </c>
      <c r="D166" s="24" t="s">
        <v>16</v>
      </c>
      <c r="E166" s="25" t="s">
        <v>198</v>
      </c>
      <c r="F166" s="25" t="s">
        <v>45</v>
      </c>
      <c r="G166" s="25" t="s">
        <v>59</v>
      </c>
      <c r="H166" s="25" t="str">
        <f t="shared" si="31"/>
        <v>Food Product</v>
      </c>
      <c r="I166" s="25" t="s">
        <v>189</v>
      </c>
      <c r="J166" s="25" t="str">
        <f t="shared" si="32"/>
        <v>Silver</v>
      </c>
      <c r="K166" s="25">
        <v>7</v>
      </c>
      <c r="L166" s="26">
        <f t="shared" si="30"/>
        <v>120000</v>
      </c>
      <c r="M166" s="32">
        <f t="shared" si="29"/>
        <v>0.02</v>
      </c>
      <c r="N166" s="25" t="str">
        <f t="shared" si="33"/>
        <v>15 Point</v>
      </c>
      <c r="O166" s="26">
        <f t="shared" si="27"/>
        <v>837600</v>
      </c>
    </row>
    <row r="167" spans="1:15" ht="17" x14ac:dyDescent="0.2">
      <c r="A167" s="22">
        <v>164</v>
      </c>
      <c r="B167" s="23">
        <v>44986</v>
      </c>
      <c r="C167" s="25" t="s">
        <v>254</v>
      </c>
      <c r="D167" s="24" t="s">
        <v>34</v>
      </c>
      <c r="E167" s="25" t="s">
        <v>198</v>
      </c>
      <c r="F167" s="25" t="s">
        <v>76</v>
      </c>
      <c r="G167" s="25" t="s">
        <v>59</v>
      </c>
      <c r="H167" s="25" t="str">
        <f t="shared" si="31"/>
        <v>Food Product</v>
      </c>
      <c r="I167" s="25" t="s">
        <v>92</v>
      </c>
      <c r="J167" s="25" t="str">
        <f t="shared" si="32"/>
        <v>Platinum</v>
      </c>
      <c r="K167" s="25">
        <v>7</v>
      </c>
      <c r="L167" s="26">
        <f>INDEX($Z$8:$Z$37,MATCH(I167,$Y$8:$Y$37,0))</f>
        <v>55000</v>
      </c>
      <c r="M167" s="32">
        <f t="shared" si="29"/>
        <v>0.02</v>
      </c>
      <c r="N167" s="25" t="str">
        <f t="shared" si="33"/>
        <v>25 Point</v>
      </c>
      <c r="O167" s="26">
        <f t="shared" si="27"/>
        <v>383900</v>
      </c>
    </row>
    <row r="168" spans="1:15" ht="17" x14ac:dyDescent="0.2">
      <c r="A168" s="22">
        <v>165</v>
      </c>
      <c r="B168" s="23">
        <v>44987</v>
      </c>
      <c r="C168" s="25" t="s">
        <v>255</v>
      </c>
      <c r="D168" s="24" t="s">
        <v>34</v>
      </c>
      <c r="E168" s="25" t="s">
        <v>198</v>
      </c>
      <c r="F168" s="25" t="s">
        <v>55</v>
      </c>
      <c r="G168" s="25" t="s">
        <v>36</v>
      </c>
      <c r="H168" s="25" t="str">
        <f t="shared" si="31"/>
        <v>Non Food Product</v>
      </c>
      <c r="I168" s="25" t="s">
        <v>37</v>
      </c>
      <c r="J168" s="25" t="str">
        <f t="shared" si="32"/>
        <v>Silver</v>
      </c>
      <c r="K168" s="25">
        <v>7</v>
      </c>
      <c r="L168" s="26">
        <f t="shared" ref="L168:L183" si="34">INDEX($Z$8:$Z$37,MATCH(I168,$Y$8:$Y$37,0))</f>
        <v>195000</v>
      </c>
      <c r="M168" s="32">
        <f t="shared" si="29"/>
        <v>0.02</v>
      </c>
      <c r="N168" s="25" t="str">
        <f t="shared" si="33"/>
        <v>5 Point</v>
      </c>
      <c r="O168" s="26">
        <f t="shared" si="27"/>
        <v>1361100</v>
      </c>
    </row>
    <row r="169" spans="1:15" ht="17" x14ac:dyDescent="0.2">
      <c r="A169" s="22">
        <v>166</v>
      </c>
      <c r="B169" s="23">
        <v>44987</v>
      </c>
      <c r="C169" s="25" t="s">
        <v>256</v>
      </c>
      <c r="D169" s="24" t="s">
        <v>16</v>
      </c>
      <c r="E169" s="25" t="s">
        <v>198</v>
      </c>
      <c r="F169" s="25" t="s">
        <v>45</v>
      </c>
      <c r="G169" s="25" t="s">
        <v>40</v>
      </c>
      <c r="H169" s="25" t="str">
        <f t="shared" si="31"/>
        <v>Non Food Product</v>
      </c>
      <c r="I169" s="25" t="s">
        <v>37</v>
      </c>
      <c r="J169" s="25" t="str">
        <f t="shared" si="32"/>
        <v>Silver</v>
      </c>
      <c r="K169" s="25">
        <v>8</v>
      </c>
      <c r="L169" s="26">
        <f t="shared" si="34"/>
        <v>195000</v>
      </c>
      <c r="M169" s="32">
        <f t="shared" si="29"/>
        <v>0.02</v>
      </c>
      <c r="N169" s="25" t="str">
        <f t="shared" si="33"/>
        <v>15 Point</v>
      </c>
      <c r="O169" s="26">
        <f t="shared" si="27"/>
        <v>1556100</v>
      </c>
    </row>
    <row r="170" spans="1:15" ht="17" x14ac:dyDescent="0.2">
      <c r="A170" s="22">
        <v>167</v>
      </c>
      <c r="B170" s="23">
        <v>44987</v>
      </c>
      <c r="C170" s="25" t="s">
        <v>257</v>
      </c>
      <c r="D170" s="24" t="s">
        <v>34</v>
      </c>
      <c r="E170" s="25" t="s">
        <v>198</v>
      </c>
      <c r="F170" s="25" t="s">
        <v>82</v>
      </c>
      <c r="G170" s="25" t="s">
        <v>67</v>
      </c>
      <c r="H170" s="25" t="str">
        <f t="shared" si="31"/>
        <v>General Merchandise Product</v>
      </c>
      <c r="I170" s="25" t="s">
        <v>62</v>
      </c>
      <c r="J170" s="25" t="str">
        <f t="shared" si="32"/>
        <v>Gold</v>
      </c>
      <c r="K170" s="25">
        <v>5</v>
      </c>
      <c r="L170" s="26">
        <f t="shared" si="34"/>
        <v>75000</v>
      </c>
      <c r="M170" s="32">
        <f t="shared" si="29"/>
        <v>0.02</v>
      </c>
      <c r="N170" s="25" t="str">
        <f t="shared" si="33"/>
        <v>25 Point</v>
      </c>
      <c r="O170" s="26">
        <f t="shared" si="27"/>
        <v>373500</v>
      </c>
    </row>
    <row r="171" spans="1:15" ht="17" x14ac:dyDescent="0.2">
      <c r="A171" s="22">
        <v>168</v>
      </c>
      <c r="B171" s="23">
        <v>44987</v>
      </c>
      <c r="C171" s="25" t="s">
        <v>258</v>
      </c>
      <c r="D171" s="24" t="s">
        <v>16</v>
      </c>
      <c r="E171" s="25" t="s">
        <v>22</v>
      </c>
      <c r="F171" s="25" t="s">
        <v>82</v>
      </c>
      <c r="G171" s="25" t="s">
        <v>36</v>
      </c>
      <c r="H171" s="25" t="str">
        <f t="shared" si="31"/>
        <v>Non Food Product</v>
      </c>
      <c r="I171" s="25" t="s">
        <v>137</v>
      </c>
      <c r="J171" s="25" t="str">
        <f t="shared" si="32"/>
        <v>Gold</v>
      </c>
      <c r="K171" s="25">
        <v>4</v>
      </c>
      <c r="L171" s="26">
        <f t="shared" si="34"/>
        <v>115000</v>
      </c>
      <c r="M171" s="32">
        <f t="shared" si="29"/>
        <v>0.02</v>
      </c>
      <c r="N171" s="25" t="str">
        <f t="shared" si="33"/>
        <v>25 Point</v>
      </c>
      <c r="O171" s="26">
        <f t="shared" si="27"/>
        <v>457700</v>
      </c>
    </row>
    <row r="172" spans="1:15" ht="17" x14ac:dyDescent="0.2">
      <c r="A172" s="22">
        <v>169</v>
      </c>
      <c r="B172" s="23">
        <v>44987</v>
      </c>
      <c r="C172" s="25" t="s">
        <v>259</v>
      </c>
      <c r="D172" s="24" t="s">
        <v>16</v>
      </c>
      <c r="E172" s="25" t="s">
        <v>22</v>
      </c>
      <c r="F172" s="25" t="s">
        <v>82</v>
      </c>
      <c r="G172" s="25" t="s">
        <v>56</v>
      </c>
      <c r="H172" s="25" t="str">
        <f t="shared" si="31"/>
        <v>Food Product</v>
      </c>
      <c r="I172" s="25" t="s">
        <v>92</v>
      </c>
      <c r="J172" s="25" t="str">
        <f t="shared" si="32"/>
        <v>Gold</v>
      </c>
      <c r="K172" s="25">
        <v>6</v>
      </c>
      <c r="L172" s="26">
        <f t="shared" si="34"/>
        <v>55000</v>
      </c>
      <c r="M172" s="32">
        <f t="shared" si="29"/>
        <v>0.02</v>
      </c>
      <c r="N172" s="25" t="str">
        <f t="shared" si="33"/>
        <v>25 Point</v>
      </c>
      <c r="O172" s="26">
        <f t="shared" si="27"/>
        <v>328900</v>
      </c>
    </row>
    <row r="173" spans="1:15" ht="17" x14ac:dyDescent="0.2">
      <c r="A173" s="22">
        <v>170</v>
      </c>
      <c r="B173" s="23">
        <v>44987</v>
      </c>
      <c r="C173" s="25" t="s">
        <v>260</v>
      </c>
      <c r="D173" s="24" t="s">
        <v>16</v>
      </c>
      <c r="E173" s="25" t="s">
        <v>22</v>
      </c>
      <c r="F173" s="25" t="s">
        <v>45</v>
      </c>
      <c r="G173" s="25" t="s">
        <v>52</v>
      </c>
      <c r="H173" s="25" t="str">
        <f t="shared" si="31"/>
        <v>Food Product</v>
      </c>
      <c r="I173" s="25" t="s">
        <v>189</v>
      </c>
      <c r="J173" s="25" t="str">
        <f t="shared" si="32"/>
        <v>Silver</v>
      </c>
      <c r="K173" s="25">
        <v>8</v>
      </c>
      <c r="L173" s="26">
        <f t="shared" si="34"/>
        <v>120000</v>
      </c>
      <c r="M173" s="32">
        <f t="shared" si="29"/>
        <v>0.02</v>
      </c>
      <c r="N173" s="25" t="str">
        <f t="shared" si="33"/>
        <v>15 Point</v>
      </c>
      <c r="O173" s="26">
        <f t="shared" si="27"/>
        <v>957600</v>
      </c>
    </row>
    <row r="174" spans="1:15" ht="17" x14ac:dyDescent="0.2">
      <c r="A174" s="22">
        <v>171</v>
      </c>
      <c r="B174" s="23">
        <v>44988</v>
      </c>
      <c r="C174" s="25" t="s">
        <v>261</v>
      </c>
      <c r="D174" s="24" t="s">
        <v>16</v>
      </c>
      <c r="E174" s="25" t="s">
        <v>22</v>
      </c>
      <c r="F174" s="25" t="s">
        <v>45</v>
      </c>
      <c r="G174" s="25" t="s">
        <v>52</v>
      </c>
      <c r="H174" s="25" t="str">
        <f t="shared" si="31"/>
        <v>Food Product</v>
      </c>
      <c r="I174" s="25" t="s">
        <v>186</v>
      </c>
      <c r="J174" s="25" t="str">
        <f t="shared" si="32"/>
        <v>Silver</v>
      </c>
      <c r="K174" s="25">
        <v>8</v>
      </c>
      <c r="L174" s="26">
        <f t="shared" si="34"/>
        <v>75000</v>
      </c>
      <c r="M174" s="32">
        <f t="shared" si="29"/>
        <v>0.02</v>
      </c>
      <c r="N174" s="25" t="str">
        <f t="shared" si="33"/>
        <v>15 Point</v>
      </c>
      <c r="O174" s="26">
        <f t="shared" si="27"/>
        <v>598500</v>
      </c>
    </row>
    <row r="175" spans="1:15" ht="17" x14ac:dyDescent="0.2">
      <c r="A175" s="22">
        <v>172</v>
      </c>
      <c r="B175" s="23">
        <v>44988</v>
      </c>
      <c r="C175" s="25" t="s">
        <v>262</v>
      </c>
      <c r="D175" s="24" t="s">
        <v>16</v>
      </c>
      <c r="E175" s="25" t="s">
        <v>22</v>
      </c>
      <c r="F175" s="25" t="s">
        <v>45</v>
      </c>
      <c r="G175" s="25" t="s">
        <v>103</v>
      </c>
      <c r="H175" s="25" t="str">
        <f t="shared" si="31"/>
        <v>Non Food Product</v>
      </c>
      <c r="I175" s="25" t="s">
        <v>37</v>
      </c>
      <c r="J175" s="25" t="str">
        <f t="shared" si="32"/>
        <v>Silver</v>
      </c>
      <c r="K175" s="25">
        <v>9</v>
      </c>
      <c r="L175" s="26">
        <f t="shared" si="34"/>
        <v>195000</v>
      </c>
      <c r="M175" s="32">
        <f t="shared" si="29"/>
        <v>0.03</v>
      </c>
      <c r="N175" s="25" t="str">
        <f t="shared" si="33"/>
        <v>15 Point</v>
      </c>
      <c r="O175" s="26">
        <f t="shared" si="27"/>
        <v>1749150</v>
      </c>
    </row>
    <row r="176" spans="1:15" ht="17" x14ac:dyDescent="0.2">
      <c r="A176" s="22">
        <v>173</v>
      </c>
      <c r="B176" s="23">
        <v>44988</v>
      </c>
      <c r="C176" s="25" t="s">
        <v>263</v>
      </c>
      <c r="D176" s="24" t="s">
        <v>34</v>
      </c>
      <c r="E176" s="25" t="s">
        <v>17</v>
      </c>
      <c r="F176" s="25" t="s">
        <v>76</v>
      </c>
      <c r="G176" s="25" t="s">
        <v>103</v>
      </c>
      <c r="H176" s="25" t="str">
        <f t="shared" si="31"/>
        <v>Non Food Product</v>
      </c>
      <c r="I176" s="25" t="s">
        <v>37</v>
      </c>
      <c r="J176" s="25" t="str">
        <f t="shared" si="32"/>
        <v>Platinum</v>
      </c>
      <c r="K176" s="25">
        <v>11</v>
      </c>
      <c r="L176" s="26">
        <f t="shared" si="34"/>
        <v>195000</v>
      </c>
      <c r="M176" s="32">
        <f t="shared" si="29"/>
        <v>0.03</v>
      </c>
      <c r="N176" s="25" t="str">
        <f t="shared" si="33"/>
        <v>25 Point</v>
      </c>
      <c r="O176" s="26">
        <f t="shared" si="27"/>
        <v>2139150</v>
      </c>
    </row>
    <row r="177" spans="1:15" ht="17" x14ac:dyDescent="0.2">
      <c r="A177" s="22">
        <v>174</v>
      </c>
      <c r="B177" s="23">
        <v>44989</v>
      </c>
      <c r="C177" s="25" t="s">
        <v>264</v>
      </c>
      <c r="D177" s="24" t="s">
        <v>34</v>
      </c>
      <c r="E177" s="25" t="s">
        <v>17</v>
      </c>
      <c r="F177" s="25" t="s">
        <v>30</v>
      </c>
      <c r="G177" s="25" t="s">
        <v>19</v>
      </c>
      <c r="H177" s="25" t="str">
        <f t="shared" si="31"/>
        <v>Perishable</v>
      </c>
      <c r="I177" s="25" t="s">
        <v>32</v>
      </c>
      <c r="J177" s="25" t="str">
        <f t="shared" si="32"/>
        <v>Gold</v>
      </c>
      <c r="K177" s="25">
        <v>10</v>
      </c>
      <c r="L177" s="26">
        <f t="shared" si="34"/>
        <v>25500</v>
      </c>
      <c r="M177" s="32">
        <f t="shared" si="29"/>
        <v>0.03</v>
      </c>
      <c r="N177" s="25" t="str">
        <f t="shared" si="33"/>
        <v>5 Point</v>
      </c>
      <c r="O177" s="26">
        <f t="shared" si="27"/>
        <v>254235</v>
      </c>
    </row>
    <row r="178" spans="1:15" ht="17" x14ac:dyDescent="0.2">
      <c r="A178" s="22">
        <v>175</v>
      </c>
      <c r="B178" s="23">
        <v>44989</v>
      </c>
      <c r="C178" s="25" t="s">
        <v>265</v>
      </c>
      <c r="D178" s="24" t="s">
        <v>16</v>
      </c>
      <c r="E178" s="25" t="s">
        <v>17</v>
      </c>
      <c r="F178" s="25" t="s">
        <v>39</v>
      </c>
      <c r="G178" s="25" t="s">
        <v>31</v>
      </c>
      <c r="H178" s="25" t="str">
        <f t="shared" si="31"/>
        <v>Perishable</v>
      </c>
      <c r="I178" s="25" t="s">
        <v>32</v>
      </c>
      <c r="J178" s="25" t="str">
        <f t="shared" si="32"/>
        <v>Gold</v>
      </c>
      <c r="K178" s="25">
        <v>9</v>
      </c>
      <c r="L178" s="26">
        <f t="shared" si="34"/>
        <v>25500</v>
      </c>
      <c r="M178" s="32">
        <f t="shared" si="29"/>
        <v>0.03</v>
      </c>
      <c r="N178" s="25" t="str">
        <f t="shared" si="33"/>
        <v>5 Point</v>
      </c>
      <c r="O178" s="26">
        <f t="shared" si="27"/>
        <v>228735</v>
      </c>
    </row>
    <row r="179" spans="1:15" ht="17" x14ac:dyDescent="0.2">
      <c r="A179" s="22">
        <v>176</v>
      </c>
      <c r="B179" s="23">
        <v>44989</v>
      </c>
      <c r="C179" s="25" t="s">
        <v>266</v>
      </c>
      <c r="D179" s="24" t="s">
        <v>16</v>
      </c>
      <c r="E179" s="25" t="s">
        <v>198</v>
      </c>
      <c r="F179" s="25" t="s">
        <v>66</v>
      </c>
      <c r="G179" s="25" t="s">
        <v>36</v>
      </c>
      <c r="H179" s="25" t="str">
        <f t="shared" si="31"/>
        <v>Non Food Product</v>
      </c>
      <c r="I179" s="25" t="s">
        <v>41</v>
      </c>
      <c r="J179" s="25" t="str">
        <f t="shared" si="32"/>
        <v>Gold</v>
      </c>
      <c r="K179" s="25">
        <v>5</v>
      </c>
      <c r="L179" s="26">
        <f t="shared" si="34"/>
        <v>85500</v>
      </c>
      <c r="M179" s="32">
        <f t="shared" si="29"/>
        <v>0.02</v>
      </c>
      <c r="N179" s="25" t="str">
        <f t="shared" si="33"/>
        <v>10 Point</v>
      </c>
      <c r="O179" s="26">
        <f t="shared" si="27"/>
        <v>425790</v>
      </c>
    </row>
    <row r="180" spans="1:15" ht="17" x14ac:dyDescent="0.2">
      <c r="A180" s="22">
        <v>177</v>
      </c>
      <c r="B180" s="23">
        <v>44989</v>
      </c>
      <c r="C180" s="25" t="s">
        <v>267</v>
      </c>
      <c r="D180" s="24" t="s">
        <v>16</v>
      </c>
      <c r="E180" s="25" t="s">
        <v>17</v>
      </c>
      <c r="F180" s="25" t="s">
        <v>69</v>
      </c>
      <c r="G180" s="25" t="s">
        <v>40</v>
      </c>
      <c r="H180" s="25" t="str">
        <f t="shared" si="31"/>
        <v>Non Food Product</v>
      </c>
      <c r="I180" s="25" t="s">
        <v>104</v>
      </c>
      <c r="J180" s="25" t="str">
        <f t="shared" si="32"/>
        <v>Gold</v>
      </c>
      <c r="K180" s="25">
        <v>7</v>
      </c>
      <c r="L180" s="26">
        <f t="shared" si="34"/>
        <v>225000</v>
      </c>
      <c r="M180" s="32">
        <f t="shared" si="29"/>
        <v>0.02</v>
      </c>
      <c r="N180" s="25" t="str">
        <f t="shared" si="33"/>
        <v>15 Point</v>
      </c>
      <c r="O180" s="26">
        <f t="shared" si="27"/>
        <v>1570500</v>
      </c>
    </row>
    <row r="181" spans="1:15" ht="17" x14ac:dyDescent="0.2">
      <c r="A181" s="22">
        <v>178</v>
      </c>
      <c r="B181" s="23">
        <v>44990</v>
      </c>
      <c r="C181" s="25" t="s">
        <v>268</v>
      </c>
      <c r="D181" s="24" t="s">
        <v>34</v>
      </c>
      <c r="E181" s="25" t="s">
        <v>198</v>
      </c>
      <c r="F181" s="25" t="s">
        <v>76</v>
      </c>
      <c r="G181" s="25" t="s">
        <v>40</v>
      </c>
      <c r="H181" s="25" t="str">
        <f t="shared" si="31"/>
        <v>Non Food Product</v>
      </c>
      <c r="I181" s="25" t="s">
        <v>104</v>
      </c>
      <c r="J181" s="25" t="str">
        <f t="shared" si="32"/>
        <v>Platinum</v>
      </c>
      <c r="K181" s="25">
        <v>7</v>
      </c>
      <c r="L181" s="26">
        <f t="shared" si="34"/>
        <v>225000</v>
      </c>
      <c r="M181" s="32">
        <f t="shared" si="29"/>
        <v>0.02</v>
      </c>
      <c r="N181" s="25" t="str">
        <f t="shared" si="33"/>
        <v>25 Point</v>
      </c>
      <c r="O181" s="26">
        <f t="shared" si="27"/>
        <v>1570500</v>
      </c>
    </row>
    <row r="182" spans="1:15" ht="17" x14ac:dyDescent="0.2">
      <c r="A182" s="22">
        <v>179</v>
      </c>
      <c r="B182" s="23">
        <v>44990</v>
      </c>
      <c r="C182" s="25" t="s">
        <v>269</v>
      </c>
      <c r="D182" s="24" t="s">
        <v>16</v>
      </c>
      <c r="E182" s="25" t="s">
        <v>198</v>
      </c>
      <c r="F182" s="25" t="s">
        <v>45</v>
      </c>
      <c r="G182" s="25" t="s">
        <v>46</v>
      </c>
      <c r="H182" s="25" t="str">
        <f t="shared" si="31"/>
        <v>Non Food Product</v>
      </c>
      <c r="I182" s="25" t="s">
        <v>104</v>
      </c>
      <c r="J182" s="25" t="str">
        <f t="shared" si="32"/>
        <v>Silver</v>
      </c>
      <c r="K182" s="25">
        <v>7</v>
      </c>
      <c r="L182" s="26">
        <f t="shared" si="34"/>
        <v>225000</v>
      </c>
      <c r="M182" s="32">
        <f t="shared" si="29"/>
        <v>0.02</v>
      </c>
      <c r="N182" s="25" t="str">
        <f t="shared" si="33"/>
        <v>15 Point</v>
      </c>
      <c r="O182" s="26">
        <f t="shared" si="27"/>
        <v>1570500</v>
      </c>
    </row>
    <row r="183" spans="1:15" ht="17" x14ac:dyDescent="0.2">
      <c r="A183" s="22">
        <v>180</v>
      </c>
      <c r="B183" s="23">
        <v>44990</v>
      </c>
      <c r="C183" s="25" t="s">
        <v>270</v>
      </c>
      <c r="D183" s="24" t="s">
        <v>16</v>
      </c>
      <c r="E183" s="25" t="s">
        <v>198</v>
      </c>
      <c r="F183" s="25" t="s">
        <v>45</v>
      </c>
      <c r="G183" s="25" t="s">
        <v>36</v>
      </c>
      <c r="H183" s="25" t="str">
        <f t="shared" si="31"/>
        <v>Non Food Product</v>
      </c>
      <c r="I183" s="25" t="s">
        <v>41</v>
      </c>
      <c r="J183" s="25" t="str">
        <f t="shared" si="32"/>
        <v>Silver</v>
      </c>
      <c r="K183" s="25">
        <v>8</v>
      </c>
      <c r="L183" s="26">
        <f t="shared" si="34"/>
        <v>85500</v>
      </c>
      <c r="M183" s="32">
        <f t="shared" si="29"/>
        <v>0.02</v>
      </c>
      <c r="N183" s="25" t="str">
        <f t="shared" si="33"/>
        <v>15 Point</v>
      </c>
      <c r="O183" s="26">
        <f t="shared" si="27"/>
        <v>682290</v>
      </c>
    </row>
    <row r="184" spans="1:15" x14ac:dyDescent="0.2">
      <c r="A184" s="18"/>
      <c r="B184" s="18"/>
      <c r="C184" s="18"/>
      <c r="D184" s="18"/>
      <c r="E184" s="18"/>
      <c r="F184" s="18"/>
      <c r="G184" s="18"/>
      <c r="H184" s="18"/>
      <c r="I184" s="18"/>
      <c r="J184" s="27" t="s">
        <v>272</v>
      </c>
      <c r="K184" s="25">
        <f>SUM(K4:K183)</f>
        <v>1100</v>
      </c>
      <c r="L184" s="28"/>
      <c r="M184" s="17"/>
      <c r="N184" s="27" t="s">
        <v>14</v>
      </c>
      <c r="O184" s="26">
        <f>SUM(O4:O183)</f>
        <v>104827888.20999999</v>
      </c>
    </row>
    <row r="185" spans="1:15" x14ac:dyDescent="0.2">
      <c r="A185" s="18"/>
      <c r="B185" s="18"/>
      <c r="C185" s="18"/>
      <c r="D185" s="18"/>
      <c r="E185" s="18"/>
      <c r="F185" s="18"/>
      <c r="G185" s="18"/>
      <c r="H185" s="18"/>
      <c r="I185" s="18"/>
      <c r="J185" s="18"/>
      <c r="K185" s="18"/>
      <c r="L185" s="28"/>
      <c r="M185" s="18"/>
      <c r="N185" s="27" t="s">
        <v>379</v>
      </c>
      <c r="O185" s="40">
        <f>AVERAGE(O4:O183)</f>
        <v>582377.15672222222</v>
      </c>
    </row>
    <row r="186" spans="1:15" x14ac:dyDescent="0.2">
      <c r="O186" s="28"/>
    </row>
  </sheetData>
  <autoFilter ref="A3:O185" xr:uid="{CC5324E6-6E6E-0945-8739-1C018D5A8D29}"/>
  <mergeCells count="8">
    <mergeCell ref="G1:M1"/>
    <mergeCell ref="Y5:Z5"/>
    <mergeCell ref="Q32:R32"/>
    <mergeCell ref="U24:V24"/>
    <mergeCell ref="T5:W5"/>
    <mergeCell ref="Q12:R12"/>
    <mergeCell ref="Q25:R25"/>
    <mergeCell ref="Q5:R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BC7A-FE25-694D-8B59-30AAF9531B0A}">
  <sheetPr>
    <pageSetUpPr fitToPage="1"/>
  </sheetPr>
  <dimension ref="A1:AE89"/>
  <sheetViews>
    <sheetView tabSelected="1" zoomScale="58" zoomScaleNormal="32" workbookViewId="0">
      <pane xSplit="6" ySplit="1" topLeftCell="G17" activePane="bottomRight" state="frozen"/>
      <selection pane="topRight" activeCell="G1" sqref="G1"/>
      <selection pane="bottomLeft" activeCell="A2" sqref="A2"/>
      <selection pane="bottomRight" activeCell="S1" sqref="S1"/>
    </sheetView>
  </sheetViews>
  <sheetFormatPr baseColWidth="10" defaultRowHeight="16" x14ac:dyDescent="0.2"/>
  <cols>
    <col min="1" max="1" width="36" customWidth="1"/>
    <col min="2" max="2" width="17.5" bestFit="1" customWidth="1"/>
    <col min="3" max="3" width="27.33203125" bestFit="1" customWidth="1"/>
    <col min="4" max="4" width="17.6640625" bestFit="1" customWidth="1"/>
    <col min="5" max="5" width="16.1640625" bestFit="1" customWidth="1"/>
    <col min="6" max="6" width="17.5" bestFit="1" customWidth="1"/>
    <col min="7" max="9" width="7.83203125" bestFit="1" customWidth="1"/>
    <col min="10" max="17" width="7.33203125" bestFit="1" customWidth="1"/>
    <col min="18" max="18" width="11.1640625" bestFit="1" customWidth="1"/>
    <col min="19" max="19" width="10" bestFit="1" customWidth="1"/>
    <col min="20" max="20" width="15" bestFit="1" customWidth="1"/>
    <col min="21" max="21" width="18.1640625" bestFit="1" customWidth="1"/>
    <col min="22" max="22" width="16.5" bestFit="1" customWidth="1"/>
    <col min="23" max="23" width="12.33203125" bestFit="1" customWidth="1"/>
    <col min="24" max="24" width="14.1640625" bestFit="1" customWidth="1"/>
    <col min="25" max="25" width="12.6640625" bestFit="1" customWidth="1"/>
    <col min="26" max="26" width="22.6640625" bestFit="1" customWidth="1"/>
    <col min="27" max="27" width="15.33203125" bestFit="1" customWidth="1"/>
    <col min="28" max="28" width="17" bestFit="1" customWidth="1"/>
    <col min="29" max="29" width="15.33203125" bestFit="1" customWidth="1"/>
    <col min="30" max="30" width="14.83203125" bestFit="1" customWidth="1"/>
    <col min="31" max="31" width="15.6640625" bestFit="1" customWidth="1"/>
    <col min="32" max="32" width="19.33203125" bestFit="1" customWidth="1"/>
    <col min="33" max="33" width="9.5" bestFit="1" customWidth="1"/>
    <col min="34" max="34" width="12.83203125" bestFit="1" customWidth="1"/>
    <col min="35" max="35" width="14.1640625" bestFit="1" customWidth="1"/>
    <col min="36" max="36" width="16.33203125" bestFit="1" customWidth="1"/>
    <col min="37" max="37" width="19.33203125" bestFit="1" customWidth="1"/>
    <col min="38" max="38" width="24.6640625" bestFit="1" customWidth="1"/>
    <col min="39" max="39" width="12.1640625" bestFit="1" customWidth="1"/>
    <col min="40" max="40" width="16.1640625" bestFit="1" customWidth="1"/>
    <col min="41" max="41" width="17.5" bestFit="1" customWidth="1"/>
    <col min="42" max="42" width="13" bestFit="1" customWidth="1"/>
    <col min="43" max="43" width="14" bestFit="1" customWidth="1"/>
    <col min="44" max="44" width="12" bestFit="1" customWidth="1"/>
    <col min="45" max="45" width="19" bestFit="1" customWidth="1"/>
    <col min="46" max="46" width="22" bestFit="1" customWidth="1"/>
    <col min="47" max="47" width="10.33203125" bestFit="1" customWidth="1"/>
    <col min="48" max="48" width="20.33203125" bestFit="1" customWidth="1"/>
    <col min="49" max="49" width="22" bestFit="1" customWidth="1"/>
    <col min="50" max="50" width="17.33203125" bestFit="1" customWidth="1"/>
    <col min="51" max="51" width="11.6640625" bestFit="1" customWidth="1"/>
    <col min="52" max="52" width="19.5" bestFit="1" customWidth="1"/>
    <col min="53" max="53" width="12" bestFit="1" customWidth="1"/>
    <col min="54" max="54" width="16.83203125" bestFit="1" customWidth="1"/>
    <col min="55" max="55" width="20.83203125" bestFit="1" customWidth="1"/>
    <col min="56" max="56" width="10.5" bestFit="1" customWidth="1"/>
    <col min="58" max="58" width="14.1640625" bestFit="1" customWidth="1"/>
    <col min="59" max="59" width="20.83203125" bestFit="1" customWidth="1"/>
    <col min="60" max="60" width="13" bestFit="1" customWidth="1"/>
    <col min="61" max="61" width="21.1640625" bestFit="1" customWidth="1"/>
    <col min="62" max="62" width="16.6640625" bestFit="1" customWidth="1"/>
    <col min="63" max="63" width="12.5" bestFit="1" customWidth="1"/>
    <col min="64" max="64" width="14.83203125" bestFit="1" customWidth="1"/>
    <col min="65" max="65" width="20.1640625" bestFit="1" customWidth="1"/>
    <col min="66" max="66" width="16.83203125" bestFit="1" customWidth="1"/>
    <col min="67" max="67" width="17.5" bestFit="1" customWidth="1"/>
    <col min="68" max="68" width="14.83203125" bestFit="1" customWidth="1"/>
    <col min="69" max="69" width="19.5" bestFit="1" customWidth="1"/>
    <col min="70" max="70" width="21.33203125" bestFit="1" customWidth="1"/>
    <col min="71" max="71" width="16.1640625" bestFit="1" customWidth="1"/>
    <col min="72" max="72" width="14.33203125" bestFit="1" customWidth="1"/>
    <col min="74" max="74" width="12.33203125" bestFit="1" customWidth="1"/>
    <col min="75" max="75" width="14.83203125" bestFit="1" customWidth="1"/>
    <col min="76" max="76" width="8.6640625" bestFit="1" customWidth="1"/>
    <col min="77" max="77" width="14.5" bestFit="1" customWidth="1"/>
    <col min="78" max="78" width="24.83203125" bestFit="1" customWidth="1"/>
    <col min="79" max="79" width="10.6640625" bestFit="1" customWidth="1"/>
    <col min="80" max="80" width="13.5" bestFit="1" customWidth="1"/>
    <col min="81" max="81" width="12.1640625" bestFit="1" customWidth="1"/>
    <col min="82" max="82" width="19.5" bestFit="1" customWidth="1"/>
    <col min="83" max="83" width="10.1640625" bestFit="1" customWidth="1"/>
    <col min="84" max="84" width="13.6640625" bestFit="1" customWidth="1"/>
    <col min="85" max="85" width="10.6640625" bestFit="1" customWidth="1"/>
    <col min="86" max="86" width="18.5" bestFit="1" customWidth="1"/>
    <col min="87" max="87" width="21.6640625" bestFit="1" customWidth="1"/>
    <col min="88" max="88" width="13.5" bestFit="1" customWidth="1"/>
    <col min="90" max="90" width="15.33203125" bestFit="1" customWidth="1"/>
    <col min="91" max="91" width="12.6640625" bestFit="1" customWidth="1"/>
    <col min="92" max="92" width="22.83203125" bestFit="1" customWidth="1"/>
    <col min="93" max="93" width="13.6640625" bestFit="1" customWidth="1"/>
    <col min="94" max="94" width="10.1640625" bestFit="1" customWidth="1"/>
    <col min="95" max="95" width="9.33203125" bestFit="1" customWidth="1"/>
    <col min="96" max="96" width="12.6640625" bestFit="1" customWidth="1"/>
    <col min="97" max="97" width="12.83203125" bestFit="1" customWidth="1"/>
    <col min="98" max="98" width="9.5" bestFit="1" customWidth="1"/>
    <col min="99" max="99" width="8" bestFit="1" customWidth="1"/>
    <col min="100" max="100" width="12.33203125" bestFit="1" customWidth="1"/>
    <col min="101" max="101" width="16" bestFit="1" customWidth="1"/>
    <col min="102" max="102" width="12.33203125" bestFit="1" customWidth="1"/>
    <col min="103" max="103" width="13.6640625" bestFit="1" customWidth="1"/>
    <col min="104" max="104" width="24.6640625" bestFit="1" customWidth="1"/>
    <col min="105" max="105" width="10.6640625" bestFit="1" customWidth="1"/>
    <col min="106" max="106" width="16.1640625" bestFit="1" customWidth="1"/>
    <col min="107" max="107" width="16" bestFit="1" customWidth="1"/>
    <col min="108" max="108" width="22.6640625" bestFit="1" customWidth="1"/>
    <col min="109" max="109" width="16.1640625" bestFit="1" customWidth="1"/>
    <col min="110" max="110" width="17.33203125" bestFit="1" customWidth="1"/>
    <col min="111" max="111" width="22.33203125" bestFit="1" customWidth="1"/>
    <col min="112" max="112" width="8.83203125" bestFit="1" customWidth="1"/>
    <col min="113" max="113" width="19.5" bestFit="1" customWidth="1"/>
    <col min="114" max="114" width="20.83203125" bestFit="1" customWidth="1"/>
    <col min="115" max="115" width="14.1640625" bestFit="1" customWidth="1"/>
    <col min="116" max="116" width="13" bestFit="1" customWidth="1"/>
    <col min="117" max="117" width="16.33203125" bestFit="1" customWidth="1"/>
    <col min="118" max="118" width="17.33203125" bestFit="1" customWidth="1"/>
    <col min="119" max="119" width="25.1640625" bestFit="1" customWidth="1"/>
    <col min="120" max="120" width="14.33203125" bestFit="1" customWidth="1"/>
    <col min="121" max="121" width="16.83203125" bestFit="1" customWidth="1"/>
    <col min="122" max="122" width="24.6640625" bestFit="1" customWidth="1"/>
    <col min="123" max="123" width="11.5" bestFit="1" customWidth="1"/>
    <col min="124" max="124" width="9" bestFit="1" customWidth="1"/>
    <col min="125" max="126" width="15.83203125" bestFit="1" customWidth="1"/>
    <col min="127" max="127" width="21.5" bestFit="1" customWidth="1"/>
    <col min="128" max="128" width="16.83203125" bestFit="1" customWidth="1"/>
    <col min="130" max="130" width="10.1640625" bestFit="1" customWidth="1"/>
    <col min="131" max="131" width="20.6640625" bestFit="1" customWidth="1"/>
    <col min="132" max="132" width="9.6640625" bestFit="1" customWidth="1"/>
    <col min="133" max="133" width="18.33203125" bestFit="1" customWidth="1"/>
    <col min="134" max="134" width="18.83203125" bestFit="1" customWidth="1"/>
    <col min="135" max="135" width="17" bestFit="1" customWidth="1"/>
    <col min="136" max="136" width="17.33203125" bestFit="1" customWidth="1"/>
    <col min="137" max="137" width="23.1640625" bestFit="1" customWidth="1"/>
    <col min="138" max="138" width="17" bestFit="1" customWidth="1"/>
    <col min="139" max="139" width="11.83203125" bestFit="1" customWidth="1"/>
    <col min="140" max="140" width="14.6640625" bestFit="1" customWidth="1"/>
    <col min="141" max="141" width="11.1640625" bestFit="1" customWidth="1"/>
    <col min="142" max="142" width="15.5" bestFit="1" customWidth="1"/>
    <col min="143" max="143" width="15.33203125" bestFit="1" customWidth="1"/>
    <col min="144" max="144" width="18.6640625" bestFit="1" customWidth="1"/>
    <col min="145" max="145" width="22" bestFit="1" customWidth="1"/>
    <col min="146" max="146" width="12.83203125" bestFit="1" customWidth="1"/>
    <col min="147" max="147" width="13.5" bestFit="1" customWidth="1"/>
    <col min="148" max="148" width="16" bestFit="1" customWidth="1"/>
    <col min="149" max="149" width="17.5" bestFit="1" customWidth="1"/>
    <col min="150" max="150" width="11.6640625" bestFit="1" customWidth="1"/>
    <col min="151" max="151" width="23.5" bestFit="1" customWidth="1"/>
    <col min="152" max="152" width="20.1640625" bestFit="1" customWidth="1"/>
    <col min="153" max="153" width="17.33203125" bestFit="1" customWidth="1"/>
    <col min="154" max="154" width="21.83203125" bestFit="1" customWidth="1"/>
    <col min="155" max="155" width="18.6640625" bestFit="1" customWidth="1"/>
    <col min="156" max="156" width="20.6640625" bestFit="1" customWidth="1"/>
    <col min="157" max="157" width="14.83203125" bestFit="1" customWidth="1"/>
    <col min="158" max="158" width="18.1640625" bestFit="1" customWidth="1"/>
    <col min="159" max="159" width="16" bestFit="1" customWidth="1"/>
    <col min="160" max="160" width="18.5" bestFit="1" customWidth="1"/>
    <col min="161" max="161" width="13" bestFit="1" customWidth="1"/>
    <col min="162" max="162" width="17.33203125" bestFit="1" customWidth="1"/>
    <col min="163" max="163" width="11.83203125" bestFit="1" customWidth="1"/>
    <col min="164" max="164" width="21.5" bestFit="1" customWidth="1"/>
    <col min="165" max="165" width="18.6640625" bestFit="1" customWidth="1"/>
    <col min="166" max="166" width="13.33203125" bestFit="1" customWidth="1"/>
    <col min="167" max="168" width="11.33203125" bestFit="1" customWidth="1"/>
    <col min="169" max="169" width="12" bestFit="1" customWidth="1"/>
    <col min="170" max="170" width="17" bestFit="1" customWidth="1"/>
    <col min="171" max="171" width="21.5" bestFit="1" customWidth="1"/>
    <col min="172" max="172" width="20.83203125" bestFit="1" customWidth="1"/>
    <col min="173" max="173" width="18.6640625" bestFit="1" customWidth="1"/>
    <col min="174" max="174" width="20" bestFit="1" customWidth="1"/>
    <col min="175" max="175" width="15.6640625" bestFit="1" customWidth="1"/>
    <col min="176" max="176" width="20.1640625" bestFit="1" customWidth="1"/>
    <col min="177" max="177" width="15.6640625" bestFit="1" customWidth="1"/>
    <col min="178" max="178" width="20.33203125" bestFit="1" customWidth="1"/>
    <col min="179" max="179" width="18" bestFit="1" customWidth="1"/>
    <col min="180" max="180" width="14.6640625" bestFit="1" customWidth="1"/>
    <col min="181" max="181" width="12.1640625" bestFit="1" customWidth="1"/>
    <col min="182" max="182" width="11" bestFit="1" customWidth="1"/>
  </cols>
  <sheetData>
    <row r="1" spans="1:30" x14ac:dyDescent="0.2">
      <c r="A1" s="128" t="s">
        <v>314</v>
      </c>
      <c r="B1" s="128"/>
      <c r="C1" s="128"/>
      <c r="D1" s="128"/>
      <c r="E1" s="128"/>
      <c r="F1" s="53"/>
    </row>
    <row r="2" spans="1:30" x14ac:dyDescent="0.2">
      <c r="A2" s="53"/>
      <c r="B2" s="53"/>
      <c r="C2" s="53"/>
      <c r="D2" s="53"/>
      <c r="E2" s="53"/>
      <c r="F2" s="53"/>
      <c r="T2" s="39"/>
    </row>
    <row r="3" spans="1:30" x14ac:dyDescent="0.2">
      <c r="A3" s="54" t="s">
        <v>307</v>
      </c>
      <c r="B3" s="54" t="s">
        <v>7</v>
      </c>
      <c r="C3" s="1"/>
      <c r="D3" s="1"/>
      <c r="E3" s="1"/>
      <c r="F3" s="1"/>
    </row>
    <row r="4" spans="1:30" x14ac:dyDescent="0.2">
      <c r="A4" s="54" t="s">
        <v>3</v>
      </c>
      <c r="B4" s="1" t="s">
        <v>276</v>
      </c>
      <c r="C4" s="1" t="s">
        <v>282</v>
      </c>
      <c r="D4" s="1" t="s">
        <v>278</v>
      </c>
      <c r="E4" s="1" t="s">
        <v>280</v>
      </c>
      <c r="F4" s="1" t="s">
        <v>306</v>
      </c>
    </row>
    <row r="5" spans="1:30" x14ac:dyDescent="0.2">
      <c r="A5" s="1" t="s">
        <v>16</v>
      </c>
      <c r="B5" s="10">
        <v>19422150</v>
      </c>
      <c r="C5" s="10">
        <v>9955125</v>
      </c>
      <c r="D5" s="10">
        <v>25900255</v>
      </c>
      <c r="E5" s="10">
        <v>7369830.089999998</v>
      </c>
      <c r="F5" s="10">
        <v>62647360.090000041</v>
      </c>
    </row>
    <row r="6" spans="1:30" x14ac:dyDescent="0.2">
      <c r="A6" s="1" t="s">
        <v>34</v>
      </c>
      <c r="B6" s="10">
        <v>12945000</v>
      </c>
      <c r="C6" s="10">
        <v>10556965</v>
      </c>
      <c r="D6" s="10">
        <v>12724775</v>
      </c>
      <c r="E6" s="10">
        <v>5953788.1199999992</v>
      </c>
      <c r="F6" s="10">
        <v>42180528.120000035</v>
      </c>
    </row>
    <row r="7" spans="1:30" x14ac:dyDescent="0.2">
      <c r="A7" s="1" t="s">
        <v>306</v>
      </c>
      <c r="B7" s="10">
        <v>32367150</v>
      </c>
      <c r="C7" s="10">
        <v>20512090</v>
      </c>
      <c r="D7" s="10">
        <v>38625030</v>
      </c>
      <c r="E7" s="10">
        <v>13323618.209999993</v>
      </c>
      <c r="F7" s="10">
        <v>104827888.21000007</v>
      </c>
      <c r="AC7" s="129" t="s">
        <v>317</v>
      </c>
      <c r="AD7" s="130"/>
    </row>
    <row r="12" spans="1:30" x14ac:dyDescent="0.2">
      <c r="O12" s="130" t="s">
        <v>316</v>
      </c>
      <c r="P12" s="130"/>
      <c r="Q12" s="130"/>
      <c r="R12" s="130"/>
      <c r="S12" s="130"/>
    </row>
    <row r="16" spans="1:30" x14ac:dyDescent="0.2">
      <c r="B16" s="129" t="s">
        <v>313</v>
      </c>
      <c r="C16" s="129"/>
      <c r="D16" s="129"/>
    </row>
    <row r="19" spans="1:31" x14ac:dyDescent="0.2">
      <c r="A19" s="54" t="s">
        <v>309</v>
      </c>
      <c r="B19" s="54" t="s">
        <v>6</v>
      </c>
      <c r="C19" s="1"/>
      <c r="D19" s="1"/>
      <c r="E19" s="1"/>
      <c r="F19" s="1"/>
      <c r="G19" s="1"/>
      <c r="H19" s="1"/>
      <c r="I19" s="1"/>
      <c r="J19" s="1"/>
      <c r="K19" s="1"/>
      <c r="L19" s="1"/>
      <c r="M19" s="1"/>
      <c r="N19" s="1"/>
      <c r="O19" s="1"/>
      <c r="P19" s="1"/>
      <c r="Q19" s="1"/>
      <c r="R19" s="1"/>
    </row>
    <row r="20" spans="1:31" x14ac:dyDescent="0.2">
      <c r="A20" s="54" t="s">
        <v>308</v>
      </c>
      <c r="B20" s="1" t="s">
        <v>52</v>
      </c>
      <c r="C20" s="1" t="s">
        <v>56</v>
      </c>
      <c r="D20" s="1" t="s">
        <v>88</v>
      </c>
      <c r="E20" s="1" t="s">
        <v>59</v>
      </c>
      <c r="F20" s="1" t="s">
        <v>80</v>
      </c>
      <c r="G20" s="1" t="s">
        <v>77</v>
      </c>
      <c r="H20" s="1" t="s">
        <v>67</v>
      </c>
      <c r="I20" s="1" t="s">
        <v>61</v>
      </c>
      <c r="J20" s="1" t="s">
        <v>40</v>
      </c>
      <c r="K20" s="1" t="s">
        <v>46</v>
      </c>
      <c r="L20" s="1" t="s">
        <v>103</v>
      </c>
      <c r="M20" s="1" t="s">
        <v>36</v>
      </c>
      <c r="N20" s="1" t="s">
        <v>24</v>
      </c>
      <c r="O20" s="1" t="s">
        <v>31</v>
      </c>
      <c r="P20" s="1" t="s">
        <v>19</v>
      </c>
      <c r="Q20" s="1" t="s">
        <v>110</v>
      </c>
      <c r="R20" s="1" t="s">
        <v>306</v>
      </c>
    </row>
    <row r="21" spans="1:31" x14ac:dyDescent="0.2">
      <c r="A21" s="56" t="s">
        <v>27</v>
      </c>
      <c r="B21" s="1"/>
      <c r="C21" s="1"/>
      <c r="D21" s="1"/>
      <c r="E21" s="1"/>
      <c r="F21" s="1"/>
      <c r="G21" s="1"/>
      <c r="H21" s="1"/>
      <c r="I21" s="1"/>
      <c r="J21" s="1"/>
      <c r="K21" s="1"/>
      <c r="L21" s="1"/>
      <c r="M21" s="1"/>
      <c r="N21" s="1"/>
      <c r="O21" s="1"/>
      <c r="P21" s="1">
        <v>8</v>
      </c>
      <c r="Q21" s="1"/>
      <c r="R21" s="1">
        <v>8</v>
      </c>
    </row>
    <row r="22" spans="1:31" x14ac:dyDescent="0.2">
      <c r="A22" s="56" t="s">
        <v>198</v>
      </c>
      <c r="B22" s="1">
        <v>9</v>
      </c>
      <c r="C22" s="1">
        <v>8</v>
      </c>
      <c r="D22" s="1"/>
      <c r="E22" s="1">
        <v>51</v>
      </c>
      <c r="F22" s="1"/>
      <c r="G22" s="1"/>
      <c r="H22" s="1">
        <v>26</v>
      </c>
      <c r="I22" s="1"/>
      <c r="J22" s="1">
        <v>29</v>
      </c>
      <c r="K22" s="1">
        <v>12</v>
      </c>
      <c r="L22" s="1"/>
      <c r="M22" s="1">
        <v>37</v>
      </c>
      <c r="N22" s="1"/>
      <c r="O22" s="1">
        <v>16</v>
      </c>
      <c r="P22" s="1"/>
      <c r="Q22" s="1"/>
      <c r="R22" s="1">
        <v>188</v>
      </c>
    </row>
    <row r="23" spans="1:31" x14ac:dyDescent="0.2">
      <c r="A23" s="56" t="s">
        <v>22</v>
      </c>
      <c r="B23" s="1">
        <v>36</v>
      </c>
      <c r="C23" s="1">
        <v>11</v>
      </c>
      <c r="D23" s="1"/>
      <c r="E23" s="1">
        <v>19</v>
      </c>
      <c r="F23" s="1"/>
      <c r="G23" s="1">
        <v>5</v>
      </c>
      <c r="H23" s="1">
        <v>32</v>
      </c>
      <c r="I23" s="1">
        <v>7</v>
      </c>
      <c r="J23" s="1">
        <v>11</v>
      </c>
      <c r="K23" s="1">
        <v>4</v>
      </c>
      <c r="L23" s="1">
        <v>9</v>
      </c>
      <c r="M23" s="1">
        <v>14</v>
      </c>
      <c r="N23" s="1">
        <v>31</v>
      </c>
      <c r="O23" s="1">
        <v>17</v>
      </c>
      <c r="P23" s="1">
        <v>5</v>
      </c>
      <c r="Q23" s="1">
        <v>23</v>
      </c>
      <c r="R23" s="1">
        <v>224</v>
      </c>
    </row>
    <row r="24" spans="1:31" x14ac:dyDescent="0.2">
      <c r="A24" s="56" t="s">
        <v>17</v>
      </c>
      <c r="B24" s="1">
        <v>27</v>
      </c>
      <c r="C24" s="1">
        <v>47</v>
      </c>
      <c r="D24" s="1">
        <v>9</v>
      </c>
      <c r="E24" s="1">
        <v>21</v>
      </c>
      <c r="F24" s="1">
        <v>16</v>
      </c>
      <c r="G24" s="1">
        <v>12</v>
      </c>
      <c r="H24" s="1">
        <v>58</v>
      </c>
      <c r="I24" s="1">
        <v>26</v>
      </c>
      <c r="J24" s="1">
        <v>47</v>
      </c>
      <c r="K24" s="1">
        <v>11</v>
      </c>
      <c r="L24" s="1">
        <v>19</v>
      </c>
      <c r="M24" s="1">
        <v>46</v>
      </c>
      <c r="N24" s="1">
        <v>2</v>
      </c>
      <c r="O24" s="1">
        <v>63</v>
      </c>
      <c r="P24" s="1">
        <v>19</v>
      </c>
      <c r="Q24" s="1">
        <v>4</v>
      </c>
      <c r="R24" s="1">
        <v>427</v>
      </c>
    </row>
    <row r="25" spans="1:31" x14ac:dyDescent="0.2">
      <c r="A25" s="56" t="s">
        <v>48</v>
      </c>
      <c r="B25" s="1">
        <v>15</v>
      </c>
      <c r="C25" s="1">
        <v>42</v>
      </c>
      <c r="D25" s="1">
        <v>17</v>
      </c>
      <c r="E25" s="1">
        <v>33</v>
      </c>
      <c r="F25" s="1">
        <v>14</v>
      </c>
      <c r="G25" s="1"/>
      <c r="H25" s="65"/>
      <c r="I25" s="1">
        <v>19</v>
      </c>
      <c r="J25" s="55">
        <v>22</v>
      </c>
      <c r="K25" s="55">
        <v>15</v>
      </c>
      <c r="L25" s="1">
        <v>6</v>
      </c>
      <c r="M25" s="1">
        <v>17</v>
      </c>
      <c r="N25" s="1">
        <v>11</v>
      </c>
      <c r="O25" s="1"/>
      <c r="P25" s="1">
        <v>28</v>
      </c>
      <c r="Q25" s="1">
        <v>14</v>
      </c>
      <c r="R25" s="1">
        <v>253</v>
      </c>
    </row>
    <row r="26" spans="1:31" x14ac:dyDescent="0.2">
      <c r="A26" s="62" t="s">
        <v>306</v>
      </c>
      <c r="B26" s="68">
        <v>87</v>
      </c>
      <c r="C26" s="68">
        <v>108</v>
      </c>
      <c r="D26" s="68">
        <v>26</v>
      </c>
      <c r="E26" s="68">
        <v>124</v>
      </c>
      <c r="F26" s="62">
        <v>30</v>
      </c>
      <c r="G26" s="69">
        <v>17</v>
      </c>
      <c r="H26" s="63">
        <v>116</v>
      </c>
      <c r="I26" s="70">
        <v>52</v>
      </c>
      <c r="J26" s="68">
        <v>109</v>
      </c>
      <c r="K26" s="68">
        <v>42</v>
      </c>
      <c r="L26" s="68">
        <v>34</v>
      </c>
      <c r="M26" s="68">
        <v>114</v>
      </c>
      <c r="N26" s="68">
        <v>44</v>
      </c>
      <c r="O26" s="68">
        <v>96</v>
      </c>
      <c r="P26" s="68">
        <v>60</v>
      </c>
      <c r="Q26" s="62">
        <v>41</v>
      </c>
      <c r="R26" s="62">
        <v>1100</v>
      </c>
      <c r="AC26" s="131" t="s">
        <v>318</v>
      </c>
      <c r="AD26" s="132"/>
      <c r="AE26" s="132"/>
    </row>
    <row r="27" spans="1:31" x14ac:dyDescent="0.2">
      <c r="H27" s="64"/>
      <c r="I27" s="64"/>
    </row>
    <row r="29" spans="1:31" x14ac:dyDescent="0.2">
      <c r="B29" s="129" t="s">
        <v>312</v>
      </c>
      <c r="C29" s="129"/>
      <c r="D29" s="129"/>
    </row>
    <row r="34" spans="1:5" x14ac:dyDescent="0.2">
      <c r="A34" s="51" t="s">
        <v>310</v>
      </c>
      <c r="B34" s="51" t="s">
        <v>311</v>
      </c>
    </row>
    <row r="35" spans="1:5" x14ac:dyDescent="0.2">
      <c r="A35" s="51" t="s">
        <v>305</v>
      </c>
      <c r="B35" s="1" t="s">
        <v>288</v>
      </c>
      <c r="C35" s="1" t="s">
        <v>292</v>
      </c>
      <c r="D35" s="1" t="s">
        <v>290</v>
      </c>
      <c r="E35" s="1" t="s">
        <v>306</v>
      </c>
    </row>
    <row r="36" spans="1:5" x14ac:dyDescent="0.2">
      <c r="A36" s="52" t="s">
        <v>62</v>
      </c>
      <c r="B36" s="10">
        <v>75000</v>
      </c>
      <c r="C36" s="10">
        <v>75000</v>
      </c>
      <c r="D36" s="10"/>
      <c r="E36" s="59">
        <v>75000</v>
      </c>
    </row>
    <row r="37" spans="1:5" x14ac:dyDescent="0.2">
      <c r="A37" s="52" t="s">
        <v>125</v>
      </c>
      <c r="B37" s="10"/>
      <c r="C37" s="10">
        <v>175000</v>
      </c>
      <c r="D37" s="10"/>
      <c r="E37" s="60">
        <v>175000</v>
      </c>
    </row>
    <row r="38" spans="1:5" x14ac:dyDescent="0.2">
      <c r="A38" s="52" t="s">
        <v>37</v>
      </c>
      <c r="B38" s="10">
        <v>195000</v>
      </c>
      <c r="C38" s="10">
        <v>195000</v>
      </c>
      <c r="D38" s="10">
        <v>195000</v>
      </c>
      <c r="E38" s="60">
        <v>195000</v>
      </c>
    </row>
    <row r="39" spans="1:5" x14ac:dyDescent="0.2">
      <c r="A39" s="52" t="s">
        <v>64</v>
      </c>
      <c r="B39" s="10">
        <v>85000</v>
      </c>
      <c r="C39" s="10">
        <v>85000</v>
      </c>
      <c r="D39" s="10">
        <v>85000</v>
      </c>
      <c r="E39" s="60">
        <v>85000</v>
      </c>
    </row>
    <row r="40" spans="1:5" x14ac:dyDescent="0.2">
      <c r="A40" s="52" t="s">
        <v>186</v>
      </c>
      <c r="B40" s="10">
        <v>75000</v>
      </c>
      <c r="C40" s="10">
        <v>75000</v>
      </c>
      <c r="D40" s="10">
        <v>75000</v>
      </c>
      <c r="E40" s="60">
        <v>75000</v>
      </c>
    </row>
    <row r="41" spans="1:5" x14ac:dyDescent="0.2">
      <c r="A41" s="52" t="s">
        <v>20</v>
      </c>
      <c r="B41" s="10">
        <v>49999</v>
      </c>
      <c r="C41" s="10">
        <v>49999</v>
      </c>
      <c r="D41" s="10">
        <v>49999</v>
      </c>
      <c r="E41" s="60">
        <v>49999</v>
      </c>
    </row>
    <row r="42" spans="1:5" x14ac:dyDescent="0.2">
      <c r="A42" s="52" t="s">
        <v>147</v>
      </c>
      <c r="B42" s="10">
        <v>125000</v>
      </c>
      <c r="C42" s="10"/>
      <c r="D42" s="10"/>
      <c r="E42" s="60">
        <v>125000</v>
      </c>
    </row>
    <row r="43" spans="1:5" x14ac:dyDescent="0.2">
      <c r="A43" s="52" t="s">
        <v>131</v>
      </c>
      <c r="B43" s="10">
        <v>90000</v>
      </c>
      <c r="C43" s="10"/>
      <c r="D43" s="10"/>
      <c r="E43" s="60">
        <v>90000</v>
      </c>
    </row>
    <row r="44" spans="1:5" x14ac:dyDescent="0.2">
      <c r="A44" s="52" t="s">
        <v>25</v>
      </c>
      <c r="B44" s="10">
        <v>69999</v>
      </c>
      <c r="C44" s="10">
        <v>69999</v>
      </c>
      <c r="D44" s="10"/>
      <c r="E44" s="60">
        <v>69999</v>
      </c>
    </row>
    <row r="45" spans="1:5" x14ac:dyDescent="0.2">
      <c r="A45" s="52" t="s">
        <v>101</v>
      </c>
      <c r="B45" s="10"/>
      <c r="C45" s="10">
        <v>170000</v>
      </c>
      <c r="D45" s="10"/>
      <c r="E45" s="60">
        <v>170000</v>
      </c>
    </row>
    <row r="46" spans="1:5" x14ac:dyDescent="0.2">
      <c r="A46" s="52" t="s">
        <v>83</v>
      </c>
      <c r="B46" s="10">
        <v>55500</v>
      </c>
      <c r="C46" s="10"/>
      <c r="D46" s="10"/>
      <c r="E46" s="60">
        <v>55500</v>
      </c>
    </row>
    <row r="47" spans="1:5" x14ac:dyDescent="0.2">
      <c r="A47" s="52" t="s">
        <v>127</v>
      </c>
      <c r="B47" s="10">
        <v>65000</v>
      </c>
      <c r="C47" s="10"/>
      <c r="D47" s="10">
        <v>65000</v>
      </c>
      <c r="E47" s="60">
        <v>65000</v>
      </c>
    </row>
    <row r="48" spans="1:5" x14ac:dyDescent="0.2">
      <c r="A48" s="52" t="s">
        <v>85</v>
      </c>
      <c r="B48" s="10">
        <v>85000</v>
      </c>
      <c r="C48" s="10"/>
      <c r="D48" s="10"/>
      <c r="E48" s="60">
        <v>85000</v>
      </c>
    </row>
    <row r="49" spans="1:31" x14ac:dyDescent="0.2">
      <c r="A49" s="52" t="s">
        <v>32</v>
      </c>
      <c r="B49" s="10">
        <v>25500</v>
      </c>
      <c r="C49" s="10">
        <v>25500</v>
      </c>
      <c r="D49" s="10">
        <v>25500</v>
      </c>
      <c r="E49" s="71">
        <v>25500</v>
      </c>
    </row>
    <row r="50" spans="1:31" x14ac:dyDescent="0.2">
      <c r="A50" s="52" t="s">
        <v>115</v>
      </c>
      <c r="B50" s="10">
        <v>89999</v>
      </c>
      <c r="C50" s="10">
        <v>89999</v>
      </c>
      <c r="D50" s="10">
        <v>89999</v>
      </c>
      <c r="E50" s="60">
        <v>89999</v>
      </c>
    </row>
    <row r="51" spans="1:31" x14ac:dyDescent="0.2">
      <c r="A51" s="52" t="s">
        <v>89</v>
      </c>
      <c r="B51" s="10">
        <v>155000</v>
      </c>
      <c r="C51" s="10"/>
      <c r="D51" s="10"/>
      <c r="E51" s="60">
        <v>155000</v>
      </c>
    </row>
    <row r="52" spans="1:31" x14ac:dyDescent="0.2">
      <c r="A52" s="52" t="s">
        <v>104</v>
      </c>
      <c r="B52" s="10">
        <v>225000</v>
      </c>
      <c r="C52" s="10">
        <v>225000</v>
      </c>
      <c r="D52" s="10">
        <v>225000</v>
      </c>
      <c r="E52" s="60">
        <v>225000</v>
      </c>
    </row>
    <row r="53" spans="1:31" x14ac:dyDescent="0.2">
      <c r="A53" s="52" t="s">
        <v>72</v>
      </c>
      <c r="B53" s="10">
        <v>110500</v>
      </c>
      <c r="C53" s="10">
        <v>110500</v>
      </c>
      <c r="D53" s="10"/>
      <c r="E53" s="60">
        <v>110500</v>
      </c>
    </row>
    <row r="54" spans="1:31" x14ac:dyDescent="0.2">
      <c r="A54" s="52" t="s">
        <v>53</v>
      </c>
      <c r="B54" s="10"/>
      <c r="C54" s="10"/>
      <c r="D54" s="10">
        <v>85000</v>
      </c>
      <c r="E54" s="60">
        <v>85000</v>
      </c>
    </row>
    <row r="55" spans="1:31" x14ac:dyDescent="0.2">
      <c r="A55" s="52" t="s">
        <v>99</v>
      </c>
      <c r="B55" s="10">
        <v>185000</v>
      </c>
      <c r="C55" s="10"/>
      <c r="D55" s="10"/>
      <c r="E55" s="60">
        <v>185000</v>
      </c>
    </row>
    <row r="56" spans="1:31" x14ac:dyDescent="0.2">
      <c r="A56" s="52" t="s">
        <v>159</v>
      </c>
      <c r="B56" s="10">
        <v>70000</v>
      </c>
      <c r="C56" s="10"/>
      <c r="D56" s="10"/>
      <c r="E56" s="60">
        <v>70000</v>
      </c>
    </row>
    <row r="57" spans="1:31" x14ac:dyDescent="0.2">
      <c r="A57" s="52" t="s">
        <v>78</v>
      </c>
      <c r="B57" s="10">
        <v>135500</v>
      </c>
      <c r="C57" s="10">
        <v>135500</v>
      </c>
      <c r="D57" s="10"/>
      <c r="E57" s="60">
        <v>135500</v>
      </c>
    </row>
    <row r="58" spans="1:31" x14ac:dyDescent="0.2">
      <c r="A58" s="52" t="s">
        <v>137</v>
      </c>
      <c r="B58" s="10">
        <v>115000</v>
      </c>
      <c r="C58" s="10">
        <v>115000</v>
      </c>
      <c r="D58" s="10">
        <v>115000</v>
      </c>
      <c r="E58" s="60">
        <v>115000</v>
      </c>
    </row>
    <row r="59" spans="1:31" x14ac:dyDescent="0.2">
      <c r="A59" s="52" t="s">
        <v>106</v>
      </c>
      <c r="B59" s="10">
        <v>45500</v>
      </c>
      <c r="C59" s="10">
        <v>45500</v>
      </c>
      <c r="D59" s="10">
        <v>45500</v>
      </c>
      <c r="E59" s="60">
        <v>45500</v>
      </c>
      <c r="AC59" s="131" t="s">
        <v>322</v>
      </c>
      <c r="AD59" s="132"/>
      <c r="AE59" s="132"/>
    </row>
    <row r="60" spans="1:31" x14ac:dyDescent="0.2">
      <c r="A60" s="52" t="s">
        <v>41</v>
      </c>
      <c r="B60" s="10">
        <v>85500</v>
      </c>
      <c r="C60" s="10">
        <v>85500</v>
      </c>
      <c r="D60" s="10">
        <v>85500</v>
      </c>
      <c r="E60" s="60">
        <v>85500</v>
      </c>
    </row>
    <row r="61" spans="1:31" x14ac:dyDescent="0.2">
      <c r="A61" s="52" t="s">
        <v>111</v>
      </c>
      <c r="B61" s="10">
        <v>45555</v>
      </c>
      <c r="C61" s="10"/>
      <c r="D61" s="10">
        <v>45555</v>
      </c>
      <c r="E61" s="60">
        <v>45555</v>
      </c>
    </row>
    <row r="62" spans="1:31" x14ac:dyDescent="0.2">
      <c r="A62" s="52" t="s">
        <v>92</v>
      </c>
      <c r="B62" s="10">
        <v>55000</v>
      </c>
      <c r="C62" s="10">
        <v>55000</v>
      </c>
      <c r="D62" s="10">
        <v>55000</v>
      </c>
      <c r="E62" s="60">
        <v>55000</v>
      </c>
    </row>
    <row r="63" spans="1:31" x14ac:dyDescent="0.2">
      <c r="A63" s="52" t="s">
        <v>133</v>
      </c>
      <c r="B63" s="10">
        <v>95000</v>
      </c>
      <c r="C63" s="10"/>
      <c r="D63" s="10">
        <v>95000</v>
      </c>
      <c r="E63" s="60">
        <v>95000</v>
      </c>
    </row>
    <row r="64" spans="1:31" x14ac:dyDescent="0.2">
      <c r="A64" s="52" t="s">
        <v>189</v>
      </c>
      <c r="B64" s="10">
        <v>120000</v>
      </c>
      <c r="C64" s="10"/>
      <c r="D64" s="10">
        <v>120000</v>
      </c>
      <c r="E64" s="61">
        <v>120000</v>
      </c>
    </row>
    <row r="65" spans="1:5" x14ac:dyDescent="0.2">
      <c r="A65" s="57" t="s">
        <v>306</v>
      </c>
      <c r="B65" s="58">
        <v>89995.445544554459</v>
      </c>
      <c r="C65" s="58">
        <v>103049.825</v>
      </c>
      <c r="D65" s="58">
        <v>95656.58974358975</v>
      </c>
      <c r="E65" s="72">
        <v>94123</v>
      </c>
    </row>
    <row r="67" spans="1:5" x14ac:dyDescent="0.2">
      <c r="B67" s="129" t="s">
        <v>321</v>
      </c>
      <c r="C67" s="130"/>
      <c r="D67" s="130"/>
      <c r="E67" s="130"/>
    </row>
    <row r="69" spans="1:5" x14ac:dyDescent="0.2">
      <c r="A69" s="54" t="s">
        <v>315</v>
      </c>
      <c r="B69" s="54" t="s">
        <v>3</v>
      </c>
      <c r="C69" s="1"/>
      <c r="D69" s="1"/>
    </row>
    <row r="70" spans="1:5" x14ac:dyDescent="0.2">
      <c r="A70" s="54" t="s">
        <v>308</v>
      </c>
      <c r="B70" s="1" t="s">
        <v>16</v>
      </c>
      <c r="C70" s="1" t="s">
        <v>34</v>
      </c>
      <c r="D70" s="1" t="s">
        <v>306</v>
      </c>
    </row>
    <row r="71" spans="1:5" x14ac:dyDescent="0.2">
      <c r="A71" s="1" t="s">
        <v>27</v>
      </c>
      <c r="B71" s="1">
        <v>1</v>
      </c>
      <c r="C71" s="1"/>
      <c r="D71" s="73">
        <v>1</v>
      </c>
    </row>
    <row r="72" spans="1:5" x14ac:dyDescent="0.2">
      <c r="A72" s="1" t="s">
        <v>198</v>
      </c>
      <c r="B72" s="1">
        <v>17</v>
      </c>
      <c r="C72" s="1">
        <v>13</v>
      </c>
      <c r="D72" s="74">
        <v>30</v>
      </c>
    </row>
    <row r="73" spans="1:5" x14ac:dyDescent="0.2">
      <c r="A73" s="1" t="s">
        <v>22</v>
      </c>
      <c r="B73" s="1">
        <v>25</v>
      </c>
      <c r="C73" s="1">
        <v>14</v>
      </c>
      <c r="D73" s="74">
        <v>39</v>
      </c>
    </row>
    <row r="74" spans="1:5" x14ac:dyDescent="0.2">
      <c r="A74" s="1" t="s">
        <v>17</v>
      </c>
      <c r="B74" s="1">
        <v>41</v>
      </c>
      <c r="C74" s="1">
        <v>31</v>
      </c>
      <c r="D74" s="75">
        <v>72</v>
      </c>
    </row>
    <row r="75" spans="1:5" x14ac:dyDescent="0.2">
      <c r="A75" s="1" t="s">
        <v>48</v>
      </c>
      <c r="B75" s="1">
        <v>25</v>
      </c>
      <c r="C75" s="1">
        <v>13</v>
      </c>
      <c r="D75" s="1">
        <v>38</v>
      </c>
    </row>
    <row r="76" spans="1:5" x14ac:dyDescent="0.2">
      <c r="A76" s="62" t="s">
        <v>306</v>
      </c>
      <c r="B76" s="66">
        <v>109</v>
      </c>
      <c r="C76" s="66">
        <v>71</v>
      </c>
      <c r="D76" s="67">
        <v>180</v>
      </c>
    </row>
    <row r="78" spans="1:5" x14ac:dyDescent="0.2">
      <c r="A78" s="76" t="s">
        <v>319</v>
      </c>
    </row>
    <row r="79" spans="1:5" x14ac:dyDescent="0.2">
      <c r="A79" s="76" t="s">
        <v>320</v>
      </c>
    </row>
    <row r="89" spans="29:31" x14ac:dyDescent="0.2">
      <c r="AC89" s="131" t="s">
        <v>323</v>
      </c>
      <c r="AD89" s="132"/>
      <c r="AE89" s="132"/>
    </row>
  </sheetData>
  <mergeCells count="9">
    <mergeCell ref="A1:E1"/>
    <mergeCell ref="B16:D16"/>
    <mergeCell ref="B29:D29"/>
    <mergeCell ref="AC59:AE59"/>
    <mergeCell ref="AC89:AE89"/>
    <mergeCell ref="B67:E67"/>
    <mergeCell ref="O12:S12"/>
    <mergeCell ref="AC7:AD7"/>
    <mergeCell ref="AC26:AE26"/>
  </mergeCells>
  <pageMargins left="0.7" right="0.7" top="0.75" bottom="0.75" header="0.3" footer="0.3"/>
  <pageSetup paperSize="9" scale="19" orientation="portrait" horizontalDpi="0" verticalDpi="0"/>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D56D-5630-E042-A892-044F711A7CC2}">
  <dimension ref="A3:Y192"/>
  <sheetViews>
    <sheetView zoomScale="75" zoomScaleNormal="100" workbookViewId="0">
      <selection activeCell="B9" sqref="B9"/>
    </sheetView>
  </sheetViews>
  <sheetFormatPr baseColWidth="10" defaultRowHeight="16" x14ac:dyDescent="0.2"/>
  <cols>
    <col min="1" max="1" width="22" customWidth="1"/>
    <col min="2" max="2" width="16.1640625" customWidth="1"/>
    <col min="3" max="3" width="15.83203125" customWidth="1"/>
    <col min="4" max="4" width="32.5" customWidth="1"/>
    <col min="5" max="5" width="27.6640625" customWidth="1"/>
    <col min="6" max="6" width="22.1640625" customWidth="1"/>
    <col min="7" max="7" width="10.83203125" customWidth="1"/>
    <col min="8" max="8" width="40" customWidth="1"/>
    <col min="9" max="9" width="29.5" customWidth="1"/>
    <col min="10" max="10" width="27.83203125" customWidth="1"/>
    <col min="11" max="11" width="18.1640625" customWidth="1"/>
    <col min="12" max="12" width="21.5" customWidth="1"/>
    <col min="15" max="15" width="20.83203125" customWidth="1"/>
    <col min="16" max="16" width="31.33203125" customWidth="1"/>
    <col min="17" max="17" width="36.1640625" customWidth="1"/>
    <col min="18" max="18" width="19.5" customWidth="1"/>
    <col min="19" max="19" width="22.83203125" customWidth="1"/>
    <col min="20" max="20" width="21" customWidth="1"/>
    <col min="21" max="21" width="26.83203125" customWidth="1"/>
    <col min="22" max="22" width="33.1640625" customWidth="1"/>
    <col min="23" max="23" width="23.33203125" customWidth="1"/>
    <col min="24" max="24" width="21.33203125" customWidth="1"/>
    <col min="25" max="25" width="20.83203125" customWidth="1"/>
  </cols>
  <sheetData>
    <row r="3" spans="1:25" x14ac:dyDescent="0.2">
      <c r="A3" s="129" t="s">
        <v>324</v>
      </c>
      <c r="B3" s="130"/>
      <c r="C3" s="130"/>
    </row>
    <row r="4" spans="1:25" ht="17" x14ac:dyDescent="0.2">
      <c r="A4" s="77"/>
      <c r="I4" s="48" t="s">
        <v>364</v>
      </c>
      <c r="O4" s="102" t="s">
        <v>6</v>
      </c>
      <c r="P4" s="102" t="s">
        <v>7</v>
      </c>
      <c r="Q4" s="102" t="s">
        <v>8</v>
      </c>
      <c r="R4" s="102" t="s">
        <v>10</v>
      </c>
      <c r="S4" s="118" t="s">
        <v>11</v>
      </c>
      <c r="T4" s="102" t="s">
        <v>12</v>
      </c>
      <c r="U4" s="102" t="s">
        <v>14</v>
      </c>
      <c r="V4" s="102" t="s">
        <v>7</v>
      </c>
      <c r="W4" s="102" t="s">
        <v>376</v>
      </c>
      <c r="X4" s="102" t="s">
        <v>377</v>
      </c>
      <c r="Y4" s="102" t="s">
        <v>378</v>
      </c>
    </row>
    <row r="5" spans="1:25" x14ac:dyDescent="0.2">
      <c r="A5" s="80" t="s">
        <v>325</v>
      </c>
      <c r="B5" s="83">
        <f>'Master (Filled)'!K184</f>
        <v>1100</v>
      </c>
      <c r="O5" s="9" t="s">
        <v>19</v>
      </c>
      <c r="P5" s="50" t="s">
        <v>280</v>
      </c>
      <c r="Q5" s="50" t="s">
        <v>20</v>
      </c>
      <c r="R5" s="9">
        <v>5</v>
      </c>
      <c r="S5" s="47">
        <f>INDEX('Master (Filled)'!$Z$8:$Z$37,MATCH(Q5,'Master (Filled)'!$Y$8:$Y$37,0))</f>
        <v>49999</v>
      </c>
      <c r="T5" s="119">
        <f t="shared" ref="T5:T68" si="0">IF(R5&gt;8,3%,2%)</f>
        <v>0.02</v>
      </c>
      <c r="U5" s="47">
        <f t="shared" ref="U5:U68" si="1">(R5*S5)-(S5*T5)</f>
        <v>248995.02</v>
      </c>
      <c r="V5" s="50" t="s">
        <v>280</v>
      </c>
      <c r="W5" s="124">
        <f>IF(Q5="Food Product",700,IF(Q5="Non Food Product",900,IF(Q5="General Merchandise Product",855,755)))</f>
        <v>755</v>
      </c>
      <c r="X5" s="124">
        <f>SUMIF(Table1316[Category],Table1417[[#This Row],[Category]],Table1316[[Quantity ]])</f>
        <v>241</v>
      </c>
      <c r="Y5" s="124">
        <f>Table1417[[#This Row],[Inventory]]-Table1417[[#This Row],[Update ]]</f>
        <v>514</v>
      </c>
    </row>
    <row r="6" spans="1:25" x14ac:dyDescent="0.2">
      <c r="A6" s="78" t="s">
        <v>326</v>
      </c>
      <c r="B6" s="84">
        <f>'Master (Filled)'!O185</f>
        <v>582377.15672222222</v>
      </c>
      <c r="I6" s="100" t="s">
        <v>365</v>
      </c>
      <c r="J6" s="109">
        <v>200000000</v>
      </c>
      <c r="K6" s="110"/>
      <c r="O6" s="9" t="s">
        <v>24</v>
      </c>
      <c r="P6" s="50" t="s">
        <v>280</v>
      </c>
      <c r="Q6" s="50" t="s">
        <v>25</v>
      </c>
      <c r="R6" s="9">
        <v>8</v>
      </c>
      <c r="S6" s="47">
        <f>INDEX('Master (Filled)'!$Z$8:$Z$37,MATCH(Q6,'Master (Filled)'!$Y$8:$Y$37,0))</f>
        <v>69999</v>
      </c>
      <c r="T6" s="119">
        <f t="shared" si="0"/>
        <v>0.02</v>
      </c>
      <c r="U6" s="47">
        <f t="shared" si="1"/>
        <v>558592.02</v>
      </c>
      <c r="V6" s="50" t="s">
        <v>280</v>
      </c>
      <c r="W6" s="124">
        <f t="shared" ref="W6:W68" si="2">IF(Q6="Food Product",700,IF(Q6="Non Food Product",900,IF(Q6="General Merchandise Product",855,755)))</f>
        <v>755</v>
      </c>
      <c r="X6" s="124">
        <f>SUMIF(Table1316[Category],Table1417[[#This Row],[Category]],Table1316[[Quantity ]])</f>
        <v>241</v>
      </c>
      <c r="Y6" s="124">
        <f>Table1417[[#This Row],[Inventory]]-Table1417[[#This Row],[Update ]]</f>
        <v>514</v>
      </c>
    </row>
    <row r="7" spans="1:25" x14ac:dyDescent="0.2">
      <c r="A7" s="79" t="s">
        <v>327</v>
      </c>
      <c r="B7" s="85">
        <v>0.03</v>
      </c>
      <c r="I7" s="100" t="s">
        <v>366</v>
      </c>
      <c r="J7" s="110">
        <v>20</v>
      </c>
      <c r="K7" s="110">
        <f>J7/J9</f>
        <v>1.6666666666666667</v>
      </c>
      <c r="O7" s="9" t="s">
        <v>19</v>
      </c>
      <c r="P7" s="50" t="s">
        <v>280</v>
      </c>
      <c r="Q7" s="50" t="s">
        <v>20</v>
      </c>
      <c r="R7" s="9">
        <v>8</v>
      </c>
      <c r="S7" s="47">
        <f>INDEX('Master (Filled)'!$Z$8:$Z$37,MATCH(Q7,'Master (Filled)'!$Y$8:$Y$37,0))</f>
        <v>49999</v>
      </c>
      <c r="T7" s="119">
        <f t="shared" si="0"/>
        <v>0.02</v>
      </c>
      <c r="U7" s="47">
        <f t="shared" si="1"/>
        <v>398992.02</v>
      </c>
      <c r="V7" s="50" t="s">
        <v>280</v>
      </c>
      <c r="W7" s="124">
        <f t="shared" si="2"/>
        <v>755</v>
      </c>
      <c r="X7" s="124">
        <f>SUMIF(Table1316[Category],Table1417[[#This Row],[Category]],Table1316[[Quantity ]])</f>
        <v>241</v>
      </c>
      <c r="Y7" s="124">
        <f>Table1417[[#This Row],[Inventory]]-Table1417[[#This Row],[Update ]]</f>
        <v>514</v>
      </c>
    </row>
    <row r="8" spans="1:25" x14ac:dyDescent="0.2">
      <c r="A8" s="80" t="s">
        <v>328</v>
      </c>
      <c r="B8" s="86">
        <f>B6*B5</f>
        <v>640614872.39444447</v>
      </c>
      <c r="C8" s="133" t="s">
        <v>334</v>
      </c>
      <c r="D8" s="132"/>
      <c r="I8" s="100" t="s">
        <v>367</v>
      </c>
      <c r="J8" s="111">
        <v>12</v>
      </c>
      <c r="K8" s="112">
        <f>J8/12</f>
        <v>1</v>
      </c>
      <c r="O8" s="9" t="s">
        <v>31</v>
      </c>
      <c r="P8" s="50" t="s">
        <v>280</v>
      </c>
      <c r="Q8" s="50" t="s">
        <v>32</v>
      </c>
      <c r="R8" s="9">
        <v>2</v>
      </c>
      <c r="S8" s="47">
        <f>INDEX('Master (Filled)'!$Z$8:$Z$37,MATCH(Q8,'Master (Filled)'!$Y$8:$Y$37,0))</f>
        <v>25500</v>
      </c>
      <c r="T8" s="119">
        <f t="shared" si="0"/>
        <v>0.02</v>
      </c>
      <c r="U8" s="47">
        <f t="shared" si="1"/>
        <v>50490</v>
      </c>
      <c r="V8" s="50" t="s">
        <v>280</v>
      </c>
      <c r="W8" s="124">
        <f t="shared" si="2"/>
        <v>755</v>
      </c>
      <c r="X8" s="124">
        <f>SUMIF(Table1316[Category],Table1417[[#This Row],[Category]],Table1316[[Quantity ]])</f>
        <v>241</v>
      </c>
      <c r="Y8" s="124">
        <f>Table1417[[#This Row],[Inventory]]-Table1417[[#This Row],[Update ]]</f>
        <v>514</v>
      </c>
    </row>
    <row r="9" spans="1:25" x14ac:dyDescent="0.2">
      <c r="A9" s="79" t="s">
        <v>329</v>
      </c>
      <c r="B9" s="87">
        <f>(B8*B7)+B8</f>
        <v>659833318.56627774</v>
      </c>
      <c r="C9" s="133" t="s">
        <v>335</v>
      </c>
      <c r="D9" s="132"/>
      <c r="E9" s="132"/>
      <c r="I9" s="100" t="s">
        <v>368</v>
      </c>
      <c r="J9" s="110">
        <v>12</v>
      </c>
      <c r="K9" s="113"/>
      <c r="O9" s="9" t="s">
        <v>36</v>
      </c>
      <c r="P9" s="50" t="s">
        <v>278</v>
      </c>
      <c r="Q9" s="50" t="s">
        <v>37</v>
      </c>
      <c r="R9" s="9">
        <v>2</v>
      </c>
      <c r="S9" s="47">
        <f>INDEX('Master (Filled)'!$Z$8:$Z$37,MATCH(Q9,'Master (Filled)'!$Y$8:$Y$37,0))</f>
        <v>195000</v>
      </c>
      <c r="T9" s="119">
        <f t="shared" si="0"/>
        <v>0.02</v>
      </c>
      <c r="U9" s="47">
        <f t="shared" si="1"/>
        <v>386100</v>
      </c>
      <c r="V9" s="50" t="s">
        <v>278</v>
      </c>
      <c r="W9" s="124">
        <f t="shared" si="2"/>
        <v>755</v>
      </c>
      <c r="X9" s="124">
        <f>SUMIF(Table1316[Category],Table1417[[#This Row],[Category]],Table1316[[Quantity ]])</f>
        <v>299</v>
      </c>
      <c r="Y9" s="124">
        <f>Table1417[[#This Row],[Inventory]]-Table1417[[#This Row],[Update ]]</f>
        <v>456</v>
      </c>
    </row>
    <row r="10" spans="1:25" x14ac:dyDescent="0.2">
      <c r="A10" s="1"/>
      <c r="B10" s="1"/>
      <c r="O10" s="9" t="s">
        <v>40</v>
      </c>
      <c r="P10" s="50" t="s">
        <v>278</v>
      </c>
      <c r="Q10" s="50" t="s">
        <v>41</v>
      </c>
      <c r="R10" s="9">
        <v>2</v>
      </c>
      <c r="S10" s="47">
        <f>INDEX('Master (Filled)'!$Z$8:$Z$37,MATCH(Q10,'Master (Filled)'!$Y$8:$Y$37,0))</f>
        <v>85500</v>
      </c>
      <c r="T10" s="119">
        <f t="shared" si="0"/>
        <v>0.02</v>
      </c>
      <c r="U10" s="47">
        <f t="shared" si="1"/>
        <v>169290</v>
      </c>
      <c r="V10" s="50" t="s">
        <v>278</v>
      </c>
      <c r="W10" s="124">
        <f t="shared" si="2"/>
        <v>755</v>
      </c>
      <c r="X10" s="124">
        <f>SUMIF(Table1316[Category],Table1417[[#This Row],[Category]],Table1316[[Quantity ]])</f>
        <v>299</v>
      </c>
      <c r="Y10" s="124">
        <f>Table1417[[#This Row],[Inventory]]-Table1417[[#This Row],[Update ]]</f>
        <v>456</v>
      </c>
    </row>
    <row r="11" spans="1:25" x14ac:dyDescent="0.2">
      <c r="A11" s="1"/>
      <c r="B11" s="1"/>
      <c r="O11" s="9" t="s">
        <v>40</v>
      </c>
      <c r="P11" s="50" t="s">
        <v>278</v>
      </c>
      <c r="Q11" s="50" t="s">
        <v>41</v>
      </c>
      <c r="R11" s="9">
        <v>3</v>
      </c>
      <c r="S11" s="47">
        <f>INDEX('Master (Filled)'!$Z$8:$Z$37,MATCH(Q11,'Master (Filled)'!$Y$8:$Y$37,0))</f>
        <v>85500</v>
      </c>
      <c r="T11" s="119">
        <f t="shared" si="0"/>
        <v>0.02</v>
      </c>
      <c r="U11" s="47">
        <f t="shared" si="1"/>
        <v>254790</v>
      </c>
      <c r="V11" s="50" t="s">
        <v>278</v>
      </c>
      <c r="W11" s="124">
        <f t="shared" si="2"/>
        <v>755</v>
      </c>
      <c r="X11" s="124">
        <f>SUMIF(Table1316[Category],Table1417[[#This Row],[Category]],Table1316[[Quantity ]])</f>
        <v>299</v>
      </c>
      <c r="Y11" s="124">
        <f>Table1417[[#This Row],[Inventory]]-Table1417[[#This Row],[Update ]]</f>
        <v>456</v>
      </c>
    </row>
    <row r="12" spans="1:25" x14ac:dyDescent="0.2">
      <c r="A12" s="1"/>
      <c r="B12" s="1"/>
      <c r="I12" s="99" t="s">
        <v>369</v>
      </c>
      <c r="J12" s="99" t="s">
        <v>370</v>
      </c>
      <c r="K12" s="99" t="s">
        <v>371</v>
      </c>
      <c r="L12" s="99" t="s">
        <v>372</v>
      </c>
      <c r="O12" s="9" t="s">
        <v>46</v>
      </c>
      <c r="P12" s="50" t="s">
        <v>278</v>
      </c>
      <c r="Q12" s="50" t="s">
        <v>37</v>
      </c>
      <c r="R12" s="9">
        <v>4</v>
      </c>
      <c r="S12" s="47">
        <f>INDEX('Master (Filled)'!$Z$8:$Z$37,MATCH(Q12,'Master (Filled)'!$Y$8:$Y$37,0))</f>
        <v>195000</v>
      </c>
      <c r="T12" s="119">
        <f t="shared" si="0"/>
        <v>0.02</v>
      </c>
      <c r="U12" s="47">
        <f t="shared" si="1"/>
        <v>776100</v>
      </c>
      <c r="V12" s="50" t="s">
        <v>278</v>
      </c>
      <c r="W12" s="124">
        <f t="shared" si="2"/>
        <v>755</v>
      </c>
      <c r="X12" s="124">
        <f>SUMIF(Table1316[Category],Table1417[[#This Row],[Category]],Table1316[[Quantity ]])</f>
        <v>299</v>
      </c>
      <c r="Y12" s="124">
        <f>Table1417[[#This Row],[Inventory]]-Table1417[[#This Row],[Update ]]</f>
        <v>456</v>
      </c>
    </row>
    <row r="13" spans="1:25" x14ac:dyDescent="0.2">
      <c r="A13" s="129" t="s">
        <v>330</v>
      </c>
      <c r="B13" s="130"/>
      <c r="C13" s="130"/>
      <c r="D13" s="130"/>
      <c r="I13" s="116"/>
      <c r="J13" s="116"/>
      <c r="K13" s="116"/>
      <c r="L13" s="114">
        <f>J6</f>
        <v>200000000</v>
      </c>
      <c r="O13" s="9" t="s">
        <v>36</v>
      </c>
      <c r="P13" s="50" t="s">
        <v>278</v>
      </c>
      <c r="Q13" s="50" t="s">
        <v>37</v>
      </c>
      <c r="R13" s="9">
        <v>4</v>
      </c>
      <c r="S13" s="47">
        <f>INDEX('Master (Filled)'!$Z$8:$Z$37,MATCH(Q13,'Master (Filled)'!$Y$8:$Y$37,0))</f>
        <v>195000</v>
      </c>
      <c r="T13" s="119">
        <f t="shared" si="0"/>
        <v>0.02</v>
      </c>
      <c r="U13" s="47">
        <f t="shared" si="1"/>
        <v>776100</v>
      </c>
      <c r="V13" s="50" t="s">
        <v>278</v>
      </c>
      <c r="W13" s="124">
        <f t="shared" si="2"/>
        <v>755</v>
      </c>
      <c r="X13" s="124">
        <f>SUMIF(Table1316[Category],Table1417[[#This Row],[Category]],Table1316[[Quantity ]])</f>
        <v>299</v>
      </c>
      <c r="Y13" s="124">
        <f>Table1417[[#This Row],[Inventory]]-Table1417[[#This Row],[Update ]]</f>
        <v>456</v>
      </c>
    </row>
    <row r="14" spans="1:25" x14ac:dyDescent="0.2">
      <c r="I14" s="104">
        <v>1</v>
      </c>
      <c r="J14" s="90">
        <f>IPMT($K8%,$I$14,$J$7,$L$13)</f>
        <v>-2000000.0000000002</v>
      </c>
      <c r="K14" s="117">
        <f>-PPMT($K8%,$I$14,$J$7,$L$13)</f>
        <v>9083062.9781102724</v>
      </c>
      <c r="L14" s="115">
        <f>L13-K14</f>
        <v>190916937.02188972</v>
      </c>
      <c r="O14" s="9" t="s">
        <v>52</v>
      </c>
      <c r="P14" s="50" t="s">
        <v>276</v>
      </c>
      <c r="Q14" s="49" t="s">
        <v>53</v>
      </c>
      <c r="R14" s="9">
        <v>2</v>
      </c>
      <c r="S14" s="47">
        <f>INDEX('Master (Filled)'!$Z$8:$Z$37,MATCH(Q14,'Master (Filled)'!$Y$8:$Y$37,0))</f>
        <v>85000</v>
      </c>
      <c r="T14" s="119">
        <f t="shared" si="0"/>
        <v>0.02</v>
      </c>
      <c r="U14" s="47">
        <f t="shared" si="1"/>
        <v>168300</v>
      </c>
      <c r="V14" s="50" t="s">
        <v>276</v>
      </c>
      <c r="W14" s="124">
        <f t="shared" si="2"/>
        <v>755</v>
      </c>
      <c r="X14" s="124">
        <f>SUMIF(Table1316[Category],Table1417[[#This Row],[Category]],Table1316[[Quantity ]])</f>
        <v>345</v>
      </c>
      <c r="Y14" s="124">
        <f>Table1417[[#This Row],[Inventory]]-Table1417[[#This Row],[Update ]]</f>
        <v>410</v>
      </c>
    </row>
    <row r="15" spans="1:25" x14ac:dyDescent="0.2">
      <c r="A15" s="80" t="s">
        <v>325</v>
      </c>
      <c r="B15" s="82">
        <f>B5</f>
        <v>1100</v>
      </c>
      <c r="D15" s="81" t="s">
        <v>331</v>
      </c>
      <c r="E15" s="81">
        <v>4672.8971962616797</v>
      </c>
      <c r="I15" s="104">
        <v>2</v>
      </c>
      <c r="J15" s="90">
        <f>IPMT($K8%,$I$15,$J$7,$L$13)</f>
        <v>-1909169.3702188975</v>
      </c>
      <c r="K15" s="117">
        <f>-PPMT($K8%,$I$15,$J$7,$L$13)</f>
        <v>9173893.6078913752</v>
      </c>
      <c r="L15" s="115">
        <f t="shared" ref="L15:L33" si="3">L14-K15</f>
        <v>181743043.41399834</v>
      </c>
      <c r="O15" s="9" t="s">
        <v>56</v>
      </c>
      <c r="P15" s="50" t="s">
        <v>276</v>
      </c>
      <c r="Q15" s="49" t="s">
        <v>53</v>
      </c>
      <c r="R15" s="9">
        <v>3</v>
      </c>
      <c r="S15" s="47">
        <f>INDEX('Master (Filled)'!$Z$8:$Z$37,MATCH(Q15,'Master (Filled)'!$Y$8:$Y$37,0))</f>
        <v>85000</v>
      </c>
      <c r="T15" s="119">
        <f t="shared" si="0"/>
        <v>0.02</v>
      </c>
      <c r="U15" s="47">
        <f t="shared" si="1"/>
        <v>253300</v>
      </c>
      <c r="V15" s="50" t="s">
        <v>276</v>
      </c>
      <c r="W15" s="124">
        <f t="shared" si="2"/>
        <v>755</v>
      </c>
      <c r="X15" s="124">
        <f>SUMIF(Table1316[Category],Table1417[[#This Row],[Category]],Table1316[[Quantity ]])</f>
        <v>345</v>
      </c>
      <c r="Y15" s="124">
        <f>Table1417[[#This Row],[Inventory]]-Table1417[[#This Row],[Update ]]</f>
        <v>410</v>
      </c>
    </row>
    <row r="16" spans="1:25" x14ac:dyDescent="0.2">
      <c r="A16" s="78" t="s">
        <v>326</v>
      </c>
      <c r="B16" s="88">
        <f>B6</f>
        <v>582377.15672222222</v>
      </c>
      <c r="D16" s="81" t="s">
        <v>332</v>
      </c>
      <c r="E16" s="90">
        <v>75000</v>
      </c>
      <c r="I16" s="104">
        <v>3</v>
      </c>
      <c r="J16" s="90">
        <f>IPMT($K8%,$I$16,$J$7,$L$13)</f>
        <v>-1817430.4341399835</v>
      </c>
      <c r="K16" s="117">
        <f>-PPMT($K8%,$I$16,$J$7,$L$13)</f>
        <v>9265632.5439702887</v>
      </c>
      <c r="L16" s="115">
        <f t="shared" si="3"/>
        <v>172477410.87002805</v>
      </c>
      <c r="O16" s="9" t="s">
        <v>59</v>
      </c>
      <c r="P16" s="50" t="s">
        <v>276</v>
      </c>
      <c r="Q16" s="49" t="s">
        <v>53</v>
      </c>
      <c r="R16" s="9">
        <v>2</v>
      </c>
      <c r="S16" s="47">
        <f>INDEX('Master (Filled)'!$Z$8:$Z$37,MATCH(Q16,'Master (Filled)'!$Y$8:$Y$37,0))</f>
        <v>85000</v>
      </c>
      <c r="T16" s="119">
        <f t="shared" si="0"/>
        <v>0.02</v>
      </c>
      <c r="U16" s="47">
        <f t="shared" si="1"/>
        <v>168300</v>
      </c>
      <c r="V16" s="50" t="s">
        <v>276</v>
      </c>
      <c r="W16" s="124">
        <f t="shared" si="2"/>
        <v>755</v>
      </c>
      <c r="X16" s="124">
        <f>SUMIF(Table1316[Category],Table1417[[#This Row],[Category]],Table1316[[Quantity ]])</f>
        <v>345</v>
      </c>
      <c r="Y16" s="124">
        <f>Table1417[[#This Row],[Inventory]]-Table1417[[#This Row],[Update ]]</f>
        <v>410</v>
      </c>
    </row>
    <row r="17" spans="1:25" x14ac:dyDescent="0.2">
      <c r="A17" s="79" t="s">
        <v>327</v>
      </c>
      <c r="B17" s="89">
        <f>B7</f>
        <v>0.03</v>
      </c>
      <c r="D17" s="92" t="s">
        <v>333</v>
      </c>
      <c r="E17" s="93">
        <f>E16*E15</f>
        <v>350467289.71962595</v>
      </c>
      <c r="F17" s="134" t="s">
        <v>336</v>
      </c>
      <c r="G17" s="130"/>
      <c r="I17" s="104">
        <v>4</v>
      </c>
      <c r="J17" s="90">
        <f>IPMT($K8%,$I$17,$J$7,$L$13)</f>
        <v>-1724774.1087002808</v>
      </c>
      <c r="K17" s="117">
        <f>-PPMT($K8%,$I$17,$J$7,$L$13)</f>
        <v>9358288.8694099914</v>
      </c>
      <c r="L17" s="115">
        <f t="shared" si="3"/>
        <v>163119122.00061807</v>
      </c>
      <c r="O17" s="9" t="s">
        <v>61</v>
      </c>
      <c r="P17" s="50" t="s">
        <v>282</v>
      </c>
      <c r="Q17" s="49" t="s">
        <v>62</v>
      </c>
      <c r="R17" s="9">
        <v>2</v>
      </c>
      <c r="S17" s="47">
        <f>INDEX('Master (Filled)'!$Z$8:$Z$37,MATCH(Q17,'Master (Filled)'!$Y$8:$Y$37,0))</f>
        <v>75000</v>
      </c>
      <c r="T17" s="119">
        <f t="shared" si="0"/>
        <v>0.02</v>
      </c>
      <c r="U17" s="47">
        <f t="shared" si="1"/>
        <v>148500</v>
      </c>
      <c r="V17" s="50" t="s">
        <v>282</v>
      </c>
      <c r="W17" s="124">
        <f t="shared" si="2"/>
        <v>755</v>
      </c>
      <c r="X17" s="124">
        <f>SUMIF(Table1316[Category],Table1417[[#This Row],[Category]],Table1316[[Quantity ]])</f>
        <v>215</v>
      </c>
      <c r="Y17" s="124">
        <f>Table1417[[#This Row],[Inventory]]-Table1417[[#This Row],[Update ]]</f>
        <v>540</v>
      </c>
    </row>
    <row r="18" spans="1:25" x14ac:dyDescent="0.2">
      <c r="A18" s="80" t="s">
        <v>328</v>
      </c>
      <c r="B18" s="88">
        <f>B8</f>
        <v>640614872.39444447</v>
      </c>
      <c r="I18" s="104">
        <v>5</v>
      </c>
      <c r="J18" s="90">
        <f>IPMT($K8%,$I$18,$J$7,$L$13)</f>
        <v>-1631191.2200061807</v>
      </c>
      <c r="K18" s="117">
        <f>-PPMT($K8%,$I$18,$J$7,$L$13)</f>
        <v>9451871.7581040934</v>
      </c>
      <c r="L18" s="115">
        <f t="shared" si="3"/>
        <v>153667250.24251398</v>
      </c>
      <c r="O18" s="9" t="s">
        <v>61</v>
      </c>
      <c r="P18" s="50" t="s">
        <v>282</v>
      </c>
      <c r="Q18" s="49" t="s">
        <v>64</v>
      </c>
      <c r="R18" s="9">
        <v>3</v>
      </c>
      <c r="S18" s="47">
        <f>INDEX('Master (Filled)'!$Z$8:$Z$37,MATCH(Q18,'Master (Filled)'!$Y$8:$Y$37,0))</f>
        <v>85000</v>
      </c>
      <c r="T18" s="119">
        <f t="shared" si="0"/>
        <v>0.02</v>
      </c>
      <c r="U18" s="47">
        <f t="shared" si="1"/>
        <v>253300</v>
      </c>
      <c r="V18" s="50" t="s">
        <v>282</v>
      </c>
      <c r="W18" s="124">
        <f t="shared" si="2"/>
        <v>755</v>
      </c>
      <c r="X18" s="124">
        <f>SUMIF(Table1316[Category],Table1417[[#This Row],[Category]],Table1316[[Quantity ]])</f>
        <v>215</v>
      </c>
      <c r="Y18" s="124">
        <f>Table1417[[#This Row],[Inventory]]-Table1417[[#This Row],[Update ]]</f>
        <v>540</v>
      </c>
    </row>
    <row r="19" spans="1:25" x14ac:dyDescent="0.2">
      <c r="A19" s="79" t="s">
        <v>329</v>
      </c>
      <c r="B19" s="90">
        <f>B9</f>
        <v>659833318.56627774</v>
      </c>
      <c r="D19" s="129" t="s">
        <v>337</v>
      </c>
      <c r="E19" s="130"/>
      <c r="I19" s="104">
        <v>6</v>
      </c>
      <c r="J19" s="90">
        <f>IPMT($K8%,$I$19,$J$7,$L$13)</f>
        <v>-1536672.5024251395</v>
      </c>
      <c r="K19" s="117">
        <f>-PPMT($K8%,$I$19,$J$7,$L$13)</f>
        <v>9546390.4756851345</v>
      </c>
      <c r="L19" s="115">
        <f t="shared" si="3"/>
        <v>144120859.76682884</v>
      </c>
      <c r="O19" s="9" t="s">
        <v>67</v>
      </c>
      <c r="P19" s="50" t="s">
        <v>282</v>
      </c>
      <c r="Q19" s="49" t="s">
        <v>64</v>
      </c>
      <c r="R19" s="9">
        <v>3</v>
      </c>
      <c r="S19" s="47">
        <f>INDEX('Master (Filled)'!$Z$8:$Z$37,MATCH(Q19,'Master (Filled)'!$Y$8:$Y$37,0))</f>
        <v>85000</v>
      </c>
      <c r="T19" s="119">
        <f t="shared" si="0"/>
        <v>0.02</v>
      </c>
      <c r="U19" s="47">
        <f t="shared" si="1"/>
        <v>253300</v>
      </c>
      <c r="V19" s="50" t="s">
        <v>282</v>
      </c>
      <c r="W19" s="124">
        <f t="shared" si="2"/>
        <v>755</v>
      </c>
      <c r="X19" s="124">
        <f>SUMIF(Table1316[Category],Table1417[[#This Row],[Category]],Table1316[[Quantity ]])</f>
        <v>215</v>
      </c>
      <c r="Y19" s="124">
        <f>Table1417[[#This Row],[Inventory]]-Table1417[[#This Row],[Update ]]</f>
        <v>540</v>
      </c>
    </row>
    <row r="20" spans="1:25" x14ac:dyDescent="0.2">
      <c r="D20" s="81" t="s">
        <v>343</v>
      </c>
      <c r="E20" s="90">
        <v>13000</v>
      </c>
      <c r="I20" s="104">
        <v>7</v>
      </c>
      <c r="J20" s="90">
        <f>IPMT($K8%,$I$20,$J$7,$L$13)</f>
        <v>-1441208.5976682883</v>
      </c>
      <c r="K20" s="117">
        <f>-PPMT($K8%,$I$20,$J$7,$L$13)</f>
        <v>9641854.380441986</v>
      </c>
      <c r="L20" s="115">
        <f t="shared" si="3"/>
        <v>134479005.38638684</v>
      </c>
      <c r="O20" s="9" t="s">
        <v>67</v>
      </c>
      <c r="P20" s="50" t="s">
        <v>282</v>
      </c>
      <c r="Q20" s="49" t="s">
        <v>64</v>
      </c>
      <c r="R20" s="9">
        <v>7</v>
      </c>
      <c r="S20" s="47">
        <f>INDEX('Master (Filled)'!$Z$8:$Z$37,MATCH(Q20,'Master (Filled)'!$Y$8:$Y$37,0))</f>
        <v>85000</v>
      </c>
      <c r="T20" s="119">
        <f t="shared" si="0"/>
        <v>0.02</v>
      </c>
      <c r="U20" s="47">
        <f t="shared" si="1"/>
        <v>593300</v>
      </c>
      <c r="V20" s="50" t="s">
        <v>282</v>
      </c>
      <c r="W20" s="124">
        <f t="shared" si="2"/>
        <v>755</v>
      </c>
      <c r="X20" s="124">
        <f>SUMIF(Table1316[Category],Table1417[[#This Row],[Category]],Table1316[[Quantity ]])</f>
        <v>215</v>
      </c>
      <c r="Y20" s="124">
        <f>Table1417[[#This Row],[Inventory]]-Table1417[[#This Row],[Update ]]</f>
        <v>540</v>
      </c>
    </row>
    <row r="21" spans="1:25" x14ac:dyDescent="0.2">
      <c r="D21" s="81" t="s">
        <v>344</v>
      </c>
      <c r="E21" s="90">
        <v>8500</v>
      </c>
      <c r="I21" s="104">
        <v>8</v>
      </c>
      <c r="J21" s="90">
        <f>IPMT($K8%,$I$21,$J$7,$L$13)</f>
        <v>-1344790.0538638684</v>
      </c>
      <c r="K21" s="117">
        <f>-PPMT($K8%,$I$21,$J$7,$L$13)</f>
        <v>9738272.9242464043</v>
      </c>
      <c r="L21" s="115">
        <f t="shared" si="3"/>
        <v>124740732.46214044</v>
      </c>
      <c r="O21" s="9" t="s">
        <v>67</v>
      </c>
      <c r="P21" s="50" t="s">
        <v>282</v>
      </c>
      <c r="Q21" s="49" t="s">
        <v>72</v>
      </c>
      <c r="R21" s="9">
        <v>8</v>
      </c>
      <c r="S21" s="47">
        <f>INDEX('Master (Filled)'!$Z$8:$Z$37,MATCH(Q21,'Master (Filled)'!$Y$8:$Y$37,0))</f>
        <v>110500</v>
      </c>
      <c r="T21" s="119">
        <f t="shared" si="0"/>
        <v>0.02</v>
      </c>
      <c r="U21" s="47">
        <f t="shared" si="1"/>
        <v>881790</v>
      </c>
      <c r="V21" s="50" t="s">
        <v>282</v>
      </c>
      <c r="W21" s="124">
        <f t="shared" si="2"/>
        <v>755</v>
      </c>
      <c r="X21" s="124">
        <f>SUMIF(Table1316[Category],Table1417[[#This Row],[Category]],Table1316[[Quantity ]])</f>
        <v>215</v>
      </c>
      <c r="Y21" s="124">
        <f>Table1417[[#This Row],[Inventory]]-Table1417[[#This Row],[Update ]]</f>
        <v>540</v>
      </c>
    </row>
    <row r="22" spans="1:25" x14ac:dyDescent="0.2">
      <c r="A22" s="129" t="s">
        <v>337</v>
      </c>
      <c r="B22" s="130"/>
      <c r="D22" s="92" t="s">
        <v>348</v>
      </c>
      <c r="E22" s="93">
        <f>(E20*E15)+(E21*E15)</f>
        <v>100467289.71962611</v>
      </c>
      <c r="F22" s="133" t="s">
        <v>345</v>
      </c>
      <c r="G22" s="132"/>
      <c r="H22" s="132"/>
      <c r="I22" s="104">
        <v>9</v>
      </c>
      <c r="J22" s="90">
        <f>IPMT($K8%,$I$22,$J$7,$L$13)</f>
        <v>-1247407.3246214045</v>
      </c>
      <c r="K22" s="117">
        <f>-PPMT($K8%,$I$22,$J$7,$L$13)</f>
        <v>9835655.6534888688</v>
      </c>
      <c r="L22" s="115">
        <f t="shared" si="3"/>
        <v>114905076.80865157</v>
      </c>
      <c r="O22" s="9" t="s">
        <v>67</v>
      </c>
      <c r="P22" s="50" t="s">
        <v>282</v>
      </c>
      <c r="Q22" s="49" t="s">
        <v>62</v>
      </c>
      <c r="R22" s="9">
        <v>12</v>
      </c>
      <c r="S22" s="47">
        <f>INDEX('Master (Filled)'!$Z$8:$Z$37,MATCH(Q22,'Master (Filled)'!$Y$8:$Y$37,0))</f>
        <v>75000</v>
      </c>
      <c r="T22" s="119">
        <f t="shared" si="0"/>
        <v>0.03</v>
      </c>
      <c r="U22" s="47">
        <f t="shared" si="1"/>
        <v>897750</v>
      </c>
      <c r="V22" s="50" t="s">
        <v>282</v>
      </c>
      <c r="W22" s="124">
        <f t="shared" si="2"/>
        <v>755</v>
      </c>
      <c r="X22" s="124">
        <f>SUMIF(Table1316[Category],Table1417[[#This Row],[Category]],Table1316[[Quantity ]])</f>
        <v>215</v>
      </c>
      <c r="Y22" s="124">
        <f>Table1417[[#This Row],[Inventory]]-Table1417[[#This Row],[Update ]]</f>
        <v>540</v>
      </c>
    </row>
    <row r="23" spans="1:25" x14ac:dyDescent="0.2">
      <c r="I23" s="104">
        <v>10</v>
      </c>
      <c r="J23" s="90">
        <f>IPMT($K8%,$I$23,$J$7,$L$13)</f>
        <v>-1149050.7680865156</v>
      </c>
      <c r="K23" s="117">
        <f>-PPMT($K8%,$I$23,$J$7,$L$13)</f>
        <v>9934012.2100237571</v>
      </c>
      <c r="L23" s="115">
        <f t="shared" si="3"/>
        <v>104971064.59862781</v>
      </c>
      <c r="O23" s="9" t="s">
        <v>77</v>
      </c>
      <c r="P23" s="50" t="s">
        <v>282</v>
      </c>
      <c r="Q23" s="49" t="s">
        <v>78</v>
      </c>
      <c r="R23" s="9">
        <v>12</v>
      </c>
      <c r="S23" s="47">
        <f>INDEX('Master (Filled)'!$Z$8:$Z$37,MATCH(Q23,'Master (Filled)'!$Y$8:$Y$37,0))</f>
        <v>135500</v>
      </c>
      <c r="T23" s="119">
        <f t="shared" si="0"/>
        <v>0.03</v>
      </c>
      <c r="U23" s="47">
        <f t="shared" si="1"/>
        <v>1621935</v>
      </c>
      <c r="V23" s="50" t="s">
        <v>282</v>
      </c>
      <c r="W23" s="124">
        <f t="shared" si="2"/>
        <v>755</v>
      </c>
      <c r="X23" s="124">
        <f>SUMIF(Table1316[Category],Table1417[[#This Row],[Category]],Table1316[[Quantity ]])</f>
        <v>215</v>
      </c>
      <c r="Y23" s="124">
        <f>Table1417[[#This Row],[Inventory]]-Table1417[[#This Row],[Update ]]</f>
        <v>540</v>
      </c>
    </row>
    <row r="24" spans="1:25" x14ac:dyDescent="0.2">
      <c r="A24" s="94" t="s">
        <v>338</v>
      </c>
      <c r="B24" s="90">
        <v>8000</v>
      </c>
      <c r="I24" s="104">
        <v>11</v>
      </c>
      <c r="J24" s="90">
        <f>IPMT($K8%,$I$24,$J$7,$L$13)</f>
        <v>-1049710.6459862781</v>
      </c>
      <c r="K24" s="117">
        <f>-PPMT($K8%,$I$24,$J$7,$L$13)</f>
        <v>10033352.332123995</v>
      </c>
      <c r="L24" s="115">
        <f t="shared" si="3"/>
        <v>94937712.266503811</v>
      </c>
      <c r="O24" s="9" t="s">
        <v>80</v>
      </c>
      <c r="P24" s="50" t="s">
        <v>282</v>
      </c>
      <c r="Q24" s="49" t="s">
        <v>78</v>
      </c>
      <c r="R24" s="9">
        <v>11</v>
      </c>
      <c r="S24" s="47">
        <f>INDEX('Master (Filled)'!$Z$8:$Z$37,MATCH(Q24,'Master (Filled)'!$Y$8:$Y$37,0))</f>
        <v>135500</v>
      </c>
      <c r="T24" s="119">
        <f t="shared" si="0"/>
        <v>0.03</v>
      </c>
      <c r="U24" s="47">
        <f t="shared" si="1"/>
        <v>1486435</v>
      </c>
      <c r="V24" s="50" t="s">
        <v>282</v>
      </c>
      <c r="W24" s="124">
        <f t="shared" si="2"/>
        <v>755</v>
      </c>
      <c r="X24" s="124">
        <f>SUMIF(Table1316[Category],Table1417[[#This Row],[Category]],Table1316[[Quantity ]])</f>
        <v>215</v>
      </c>
      <c r="Y24" s="124">
        <f>Table1417[[#This Row],[Inventory]]-Table1417[[#This Row],[Update ]]</f>
        <v>540</v>
      </c>
    </row>
    <row r="25" spans="1:25" x14ac:dyDescent="0.2">
      <c r="A25" s="94" t="s">
        <v>339</v>
      </c>
      <c r="B25" s="90">
        <v>11000</v>
      </c>
      <c r="I25" s="104">
        <v>12</v>
      </c>
      <c r="J25" s="90">
        <f>IPMT($K8%,$I$25,$J$7,$L$13)</f>
        <v>-949377.1226650381</v>
      </c>
      <c r="K25" s="117">
        <f>-PPMT($K8%,$I$25,$J$7,$L$13)</f>
        <v>10133685.855445234</v>
      </c>
      <c r="L25" s="115">
        <f t="shared" si="3"/>
        <v>84804026.411058575</v>
      </c>
      <c r="O25" s="9" t="s">
        <v>61</v>
      </c>
      <c r="P25" s="50" t="s">
        <v>282</v>
      </c>
      <c r="Q25" s="49" t="s">
        <v>83</v>
      </c>
      <c r="R25" s="9">
        <v>9</v>
      </c>
      <c r="S25" s="47">
        <f>INDEX('Master (Filled)'!$Z$8:$Z$37,MATCH(Q25,'Master (Filled)'!$Y$8:$Y$37,0))</f>
        <v>55500</v>
      </c>
      <c r="T25" s="119">
        <f t="shared" si="0"/>
        <v>0.03</v>
      </c>
      <c r="U25" s="47">
        <f t="shared" si="1"/>
        <v>497835</v>
      </c>
      <c r="V25" s="50" t="s">
        <v>282</v>
      </c>
      <c r="W25" s="124">
        <f t="shared" si="2"/>
        <v>755</v>
      </c>
      <c r="X25" s="124">
        <f>SUMIF(Table1316[Category],Table1417[[#This Row],[Category]],Table1316[[Quantity ]])</f>
        <v>215</v>
      </c>
      <c r="Y25" s="124">
        <f>Table1417[[#This Row],[Inventory]]-Table1417[[#This Row],[Update ]]</f>
        <v>540</v>
      </c>
    </row>
    <row r="26" spans="1:25" x14ac:dyDescent="0.2">
      <c r="A26" s="94" t="s">
        <v>346</v>
      </c>
      <c r="B26" s="90">
        <f>(B24*B5)+(B25*B5)</f>
        <v>20900000</v>
      </c>
      <c r="C26" s="133" t="s">
        <v>341</v>
      </c>
      <c r="D26" s="132"/>
      <c r="E26" s="132"/>
      <c r="I26" s="104">
        <v>13</v>
      </c>
      <c r="J26" s="90">
        <f>IPMT($K8%,$I$26,$J$7,$L$13)</f>
        <v>-848040.26411058579</v>
      </c>
      <c r="K26" s="117">
        <f>-PPMT($K8%,$I$26,$J$7,$L$13)</f>
        <v>10235022.713999687</v>
      </c>
      <c r="L26" s="115">
        <f t="shared" si="3"/>
        <v>74569003.697058886</v>
      </c>
      <c r="O26" s="9" t="s">
        <v>59</v>
      </c>
      <c r="P26" s="50" t="s">
        <v>276</v>
      </c>
      <c r="Q26" s="49" t="s">
        <v>85</v>
      </c>
      <c r="R26" s="9">
        <v>9</v>
      </c>
      <c r="S26" s="47">
        <f>INDEX('Master (Filled)'!$Z$8:$Z$37,MATCH(Q26,'Master (Filled)'!$Y$8:$Y$37,0))</f>
        <v>85000</v>
      </c>
      <c r="T26" s="119">
        <f t="shared" si="0"/>
        <v>0.03</v>
      </c>
      <c r="U26" s="47">
        <f t="shared" si="1"/>
        <v>762450</v>
      </c>
      <c r="V26" s="50" t="s">
        <v>276</v>
      </c>
      <c r="W26" s="124">
        <f t="shared" si="2"/>
        <v>755</v>
      </c>
      <c r="X26" s="124">
        <f>SUMIF(Table1316[Category],Table1417[[#This Row],[Category]],Table1316[[Quantity ]])</f>
        <v>345</v>
      </c>
      <c r="Y26" s="124">
        <f>Table1417[[#This Row],[Inventory]]-Table1417[[#This Row],[Update ]]</f>
        <v>410</v>
      </c>
    </row>
    <row r="27" spans="1:25" x14ac:dyDescent="0.2">
      <c r="I27" s="104">
        <v>14</v>
      </c>
      <c r="J27" s="90">
        <f>IPMT($K8%,$I$27,$J$7,$L$13)</f>
        <v>-745690.03697058873</v>
      </c>
      <c r="K27" s="117">
        <f>-PPMT($K8%,$I$27,$J$7,$L$13)</f>
        <v>10337372.941139683</v>
      </c>
      <c r="L27" s="115">
        <f t="shared" si="3"/>
        <v>64231630.755919203</v>
      </c>
      <c r="O27" s="9" t="s">
        <v>88</v>
      </c>
      <c r="P27" s="50" t="s">
        <v>276</v>
      </c>
      <c r="Q27" s="49" t="s">
        <v>89</v>
      </c>
      <c r="R27" s="9">
        <v>5</v>
      </c>
      <c r="S27" s="47">
        <f>INDEX('Master (Filled)'!$Z$8:$Z$37,MATCH(Q27,'Master (Filled)'!$Y$8:$Y$37,0))</f>
        <v>155000</v>
      </c>
      <c r="T27" s="119">
        <f t="shared" si="0"/>
        <v>0.02</v>
      </c>
      <c r="U27" s="47">
        <f t="shared" si="1"/>
        <v>771900</v>
      </c>
      <c r="V27" s="50" t="s">
        <v>276</v>
      </c>
      <c r="W27" s="124">
        <f t="shared" si="2"/>
        <v>755</v>
      </c>
      <c r="X27" s="124">
        <f>SUMIF(Table1316[Category],Table1417[[#This Row],[Category]],Table1316[[Quantity ]])</f>
        <v>345</v>
      </c>
      <c r="Y27" s="124">
        <f>Table1417[[#This Row],[Inventory]]-Table1417[[#This Row],[Update ]]</f>
        <v>410</v>
      </c>
    </row>
    <row r="28" spans="1:25" x14ac:dyDescent="0.2">
      <c r="I28" s="104">
        <v>15</v>
      </c>
      <c r="J28" s="90">
        <f>IPMT($K8%,$I$28,$J$7,$L$13)</f>
        <v>-642316.30755919195</v>
      </c>
      <c r="K28" s="117">
        <f>-PPMT($K8%,$I$28,$J$7,$L$13)</f>
        <v>10440746.67055108</v>
      </c>
      <c r="L28" s="115">
        <f t="shared" si="3"/>
        <v>53790884.085368127</v>
      </c>
      <c r="O28" s="9" t="s">
        <v>56</v>
      </c>
      <c r="P28" s="50" t="s">
        <v>276</v>
      </c>
      <c r="Q28" s="49" t="s">
        <v>92</v>
      </c>
      <c r="R28" s="9">
        <v>4</v>
      </c>
      <c r="S28" s="47">
        <f>INDEX('Master (Filled)'!$Z$8:$Z$37,MATCH(Q28,'Master (Filled)'!$Y$8:$Y$37,0))</f>
        <v>55000</v>
      </c>
      <c r="T28" s="119">
        <f t="shared" si="0"/>
        <v>0.02</v>
      </c>
      <c r="U28" s="47">
        <f t="shared" si="1"/>
        <v>218900</v>
      </c>
      <c r="V28" s="50" t="s">
        <v>276</v>
      </c>
      <c r="W28" s="124">
        <f t="shared" si="2"/>
        <v>755</v>
      </c>
      <c r="X28" s="124">
        <f>SUMIF(Table1316[Category],Table1417[[#This Row],[Category]],Table1316[[Quantity ]])</f>
        <v>345</v>
      </c>
      <c r="Y28" s="124">
        <f>Table1417[[#This Row],[Inventory]]-Table1417[[#This Row],[Update ]]</f>
        <v>410</v>
      </c>
    </row>
    <row r="29" spans="1:25" x14ac:dyDescent="0.2">
      <c r="A29" s="95" t="s">
        <v>342</v>
      </c>
      <c r="B29" s="96">
        <f>B19-B26</f>
        <v>638933318.56627774</v>
      </c>
      <c r="C29" s="131" t="s">
        <v>347</v>
      </c>
      <c r="D29" s="132"/>
      <c r="E29" s="95" t="s">
        <v>342</v>
      </c>
      <c r="F29" s="96">
        <f>E17-E22</f>
        <v>249999999.99999982</v>
      </c>
      <c r="G29" s="131" t="s">
        <v>349</v>
      </c>
      <c r="H29" s="132"/>
      <c r="I29" s="104">
        <v>16</v>
      </c>
      <c r="J29" s="90">
        <f>IPMT($K8%,$I$29,$J$7,$L$13)</f>
        <v>-537908.84085368109</v>
      </c>
      <c r="K29" s="117">
        <f>-PPMT($K8%,$I$29,$J$7,$L$13)</f>
        <v>10545154.137256591</v>
      </c>
      <c r="L29" s="115">
        <f t="shared" si="3"/>
        <v>43245729.948111534</v>
      </c>
      <c r="O29" s="9" t="s">
        <v>56</v>
      </c>
      <c r="P29" s="50" t="s">
        <v>276</v>
      </c>
      <c r="Q29" s="49" t="s">
        <v>89</v>
      </c>
      <c r="R29" s="9">
        <v>3</v>
      </c>
      <c r="S29" s="47">
        <f>INDEX('Master (Filled)'!$Z$8:$Z$37,MATCH(Q29,'Master (Filled)'!$Y$8:$Y$37,0))</f>
        <v>155000</v>
      </c>
      <c r="T29" s="119">
        <f t="shared" si="0"/>
        <v>0.02</v>
      </c>
      <c r="U29" s="47">
        <f t="shared" si="1"/>
        <v>461900</v>
      </c>
      <c r="V29" s="50" t="s">
        <v>276</v>
      </c>
      <c r="W29" s="124">
        <f t="shared" si="2"/>
        <v>755</v>
      </c>
      <c r="X29" s="124">
        <f>SUMIF(Table1316[Category],Table1417[[#This Row],[Category]],Table1316[[Quantity ]])</f>
        <v>345</v>
      </c>
      <c r="Y29" s="124">
        <f>Table1417[[#This Row],[Inventory]]-Table1417[[#This Row],[Update ]]</f>
        <v>410</v>
      </c>
    </row>
    <row r="30" spans="1:25" x14ac:dyDescent="0.2">
      <c r="I30" s="104">
        <v>17</v>
      </c>
      <c r="J30" s="90">
        <f>IPMT($K8%,$I$30,$J$7,$L$13)</f>
        <v>-432457.29948111513</v>
      </c>
      <c r="K30" s="117">
        <f>-PPMT($K8%,$I$30,$J$7,$L$13)</f>
        <v>10650605.678629158</v>
      </c>
      <c r="L30" s="115">
        <f t="shared" si="3"/>
        <v>32595124.269482374</v>
      </c>
      <c r="O30" s="9" t="s">
        <v>56</v>
      </c>
      <c r="P30" s="50" t="s">
        <v>276</v>
      </c>
      <c r="Q30" s="49" t="s">
        <v>92</v>
      </c>
      <c r="R30" s="9">
        <v>2</v>
      </c>
      <c r="S30" s="47">
        <f>INDEX('Master (Filled)'!$Z$8:$Z$37,MATCH(Q30,'Master (Filled)'!$Y$8:$Y$37,0))</f>
        <v>55000</v>
      </c>
      <c r="T30" s="119">
        <f t="shared" si="0"/>
        <v>0.02</v>
      </c>
      <c r="U30" s="47">
        <f t="shared" si="1"/>
        <v>108900</v>
      </c>
      <c r="V30" s="50" t="s">
        <v>276</v>
      </c>
      <c r="W30" s="124">
        <f t="shared" si="2"/>
        <v>755</v>
      </c>
      <c r="X30" s="124">
        <f>SUMIF(Table1316[Category],Table1417[[#This Row],[Category]],Table1316[[Quantity ]])</f>
        <v>345</v>
      </c>
      <c r="Y30" s="124">
        <f>Table1417[[#This Row],[Inventory]]-Table1417[[#This Row],[Update ]]</f>
        <v>410</v>
      </c>
    </row>
    <row r="31" spans="1:25" x14ac:dyDescent="0.2">
      <c r="I31" s="104">
        <v>18</v>
      </c>
      <c r="J31" s="90">
        <f>IPMT($K8%,$I$31,$J$7,$L$13)</f>
        <v>-325951.2426948236</v>
      </c>
      <c r="K31" s="117">
        <f>-PPMT($K8%,$I$31,$J$7,$L$13)</f>
        <v>10757111.735415449</v>
      </c>
      <c r="L31" s="115">
        <f t="shared" si="3"/>
        <v>21838012.534066923</v>
      </c>
      <c r="O31" s="9" t="s">
        <v>52</v>
      </c>
      <c r="P31" s="50" t="s">
        <v>276</v>
      </c>
      <c r="Q31" s="49" t="s">
        <v>99</v>
      </c>
      <c r="R31" s="9">
        <v>3</v>
      </c>
      <c r="S31" s="47">
        <f>INDEX('Master (Filled)'!$Z$8:$Z$37,MATCH(Q31,'Master (Filled)'!$Y$8:$Y$37,0))</f>
        <v>185000</v>
      </c>
      <c r="T31" s="119">
        <f t="shared" si="0"/>
        <v>0.02</v>
      </c>
      <c r="U31" s="47">
        <f t="shared" si="1"/>
        <v>551300</v>
      </c>
      <c r="V31" s="50" t="s">
        <v>276</v>
      </c>
      <c r="W31" s="124">
        <f t="shared" si="2"/>
        <v>755</v>
      </c>
      <c r="X31" s="124">
        <f>SUMIF(Table1316[Category],Table1417[[#This Row],[Category]],Table1316[[Quantity ]])</f>
        <v>345</v>
      </c>
      <c r="Y31" s="124">
        <f>Table1417[[#This Row],[Inventory]]-Table1417[[#This Row],[Update ]]</f>
        <v>410</v>
      </c>
    </row>
    <row r="32" spans="1:25" x14ac:dyDescent="0.2">
      <c r="I32" s="104">
        <v>19</v>
      </c>
      <c r="J32" s="90">
        <f>IPMT($K8%,$I$32,$J$7,$L$13)</f>
        <v>-218380.1253406691</v>
      </c>
      <c r="K32" s="117">
        <f>-PPMT($K8%,$I$32,$J$7,$L$13)</f>
        <v>10864682.852769604</v>
      </c>
      <c r="L32" s="115">
        <f t="shared" si="3"/>
        <v>10973329.681297319</v>
      </c>
      <c r="O32" s="9" t="s">
        <v>52</v>
      </c>
      <c r="P32" s="50" t="s">
        <v>276</v>
      </c>
      <c r="Q32" s="49" t="s">
        <v>101</v>
      </c>
      <c r="R32" s="9">
        <v>3</v>
      </c>
      <c r="S32" s="47">
        <f>INDEX('Master (Filled)'!$Z$8:$Z$37,MATCH(Q32,'Master (Filled)'!$Y$8:$Y$37,0))</f>
        <v>170000</v>
      </c>
      <c r="T32" s="119">
        <f t="shared" si="0"/>
        <v>0.02</v>
      </c>
      <c r="U32" s="47">
        <f t="shared" si="1"/>
        <v>506600</v>
      </c>
      <c r="V32" s="50" t="s">
        <v>276</v>
      </c>
      <c r="W32" s="124">
        <f t="shared" si="2"/>
        <v>755</v>
      </c>
      <c r="X32" s="124">
        <f>SUMIF(Table1316[Category],Table1417[[#This Row],[Category]],Table1316[[Quantity ]])</f>
        <v>345</v>
      </c>
      <c r="Y32" s="124">
        <f>Table1417[[#This Row],[Inventory]]-Table1417[[#This Row],[Update ]]</f>
        <v>410</v>
      </c>
    </row>
    <row r="33" spans="1:25" x14ac:dyDescent="0.2">
      <c r="A33" s="97" t="s">
        <v>350</v>
      </c>
      <c r="I33" s="104">
        <v>20</v>
      </c>
      <c r="J33" s="90">
        <f>IPMT($K8%,$I$33,$J$7,$L$13)</f>
        <v>-109733.29681297303</v>
      </c>
      <c r="K33" s="117">
        <f>-PPMT($K8%,$I$33,$J$7,$L$13)</f>
        <v>10973329.6812973</v>
      </c>
      <c r="L33" s="115">
        <f t="shared" si="3"/>
        <v>1.862645149230957E-8</v>
      </c>
      <c r="O33" s="9" t="s">
        <v>103</v>
      </c>
      <c r="P33" s="50" t="s">
        <v>278</v>
      </c>
      <c r="Q33" s="50" t="s">
        <v>104</v>
      </c>
      <c r="R33" s="9">
        <v>3</v>
      </c>
      <c r="S33" s="47">
        <f>INDEX('Master (Filled)'!$Z$8:$Z$37,MATCH(Q33,'Master (Filled)'!$Y$8:$Y$37,0))</f>
        <v>225000</v>
      </c>
      <c r="T33" s="119">
        <f t="shared" si="0"/>
        <v>0.02</v>
      </c>
      <c r="U33" s="47">
        <f t="shared" si="1"/>
        <v>670500</v>
      </c>
      <c r="V33" s="50" t="s">
        <v>278</v>
      </c>
      <c r="W33" s="124">
        <f t="shared" si="2"/>
        <v>755</v>
      </c>
      <c r="X33" s="124">
        <f>SUMIF(Table1316[Category],Table1417[[#This Row],[Category]],Table1316[[Quantity ]])</f>
        <v>299</v>
      </c>
      <c r="Y33" s="124">
        <f>Table1417[[#This Row],[Inventory]]-Table1417[[#This Row],[Update ]]</f>
        <v>456</v>
      </c>
    </row>
    <row r="34" spans="1:25" x14ac:dyDescent="0.2">
      <c r="A34" s="91"/>
      <c r="B34" s="99" t="s">
        <v>276</v>
      </c>
      <c r="C34" s="99" t="s">
        <v>278</v>
      </c>
      <c r="D34" s="99" t="s">
        <v>282</v>
      </c>
      <c r="E34" s="99" t="s">
        <v>280</v>
      </c>
      <c r="O34" s="9" t="s">
        <v>103</v>
      </c>
      <c r="P34" s="50" t="s">
        <v>278</v>
      </c>
      <c r="Q34" s="50" t="s">
        <v>106</v>
      </c>
      <c r="R34" s="9">
        <v>2</v>
      </c>
      <c r="S34" s="47">
        <f>INDEX('Master (Filled)'!$Z$8:$Z$37,MATCH(Q34,'Master (Filled)'!$Y$8:$Y$37,0))</f>
        <v>45500</v>
      </c>
      <c r="T34" s="119">
        <f t="shared" si="0"/>
        <v>0.02</v>
      </c>
      <c r="U34" s="47">
        <f t="shared" si="1"/>
        <v>90090</v>
      </c>
      <c r="V34" s="50" t="s">
        <v>278</v>
      </c>
      <c r="W34" s="124">
        <f t="shared" si="2"/>
        <v>755</v>
      </c>
      <c r="X34" s="124">
        <f>SUMIF(Table1316[Category],Table1417[[#This Row],[Category]],Table1316[[Quantity ]])</f>
        <v>299</v>
      </c>
      <c r="Y34" s="124">
        <f>Table1417[[#This Row],[Inventory]]-Table1417[[#This Row],[Update ]]</f>
        <v>456</v>
      </c>
    </row>
    <row r="35" spans="1:25" x14ac:dyDescent="0.2">
      <c r="A35" s="92" t="s">
        <v>351</v>
      </c>
      <c r="B35" s="90">
        <v>94245</v>
      </c>
      <c r="C35" s="90">
        <v>135628</v>
      </c>
      <c r="D35" s="90">
        <v>92559</v>
      </c>
      <c r="E35" s="90">
        <v>52731</v>
      </c>
      <c r="I35" s="130" t="s">
        <v>373</v>
      </c>
      <c r="J35" s="130"/>
      <c r="K35" s="130"/>
      <c r="O35" s="9" t="s">
        <v>40</v>
      </c>
      <c r="P35" s="50" t="s">
        <v>278</v>
      </c>
      <c r="Q35" s="50" t="s">
        <v>104</v>
      </c>
      <c r="R35" s="9">
        <v>2</v>
      </c>
      <c r="S35" s="47">
        <f>INDEX('Master (Filled)'!$Z$8:$Z$37,MATCH(Q35,'Master (Filled)'!$Y$8:$Y$37,0))</f>
        <v>225000</v>
      </c>
      <c r="T35" s="119">
        <f t="shared" si="0"/>
        <v>0.02</v>
      </c>
      <c r="U35" s="47">
        <f t="shared" si="1"/>
        <v>445500</v>
      </c>
      <c r="V35" s="50" t="s">
        <v>278</v>
      </c>
      <c r="W35" s="124">
        <f t="shared" si="2"/>
        <v>755</v>
      </c>
      <c r="X35" s="124">
        <f>SUMIF(Table1316[Category],Table1417[[#This Row],[Category]],Table1316[[Quantity ]])</f>
        <v>299</v>
      </c>
      <c r="Y35" s="124">
        <f>Table1417[[#This Row],[Inventory]]-Table1417[[#This Row],[Update ]]</f>
        <v>456</v>
      </c>
    </row>
    <row r="36" spans="1:25" x14ac:dyDescent="0.2">
      <c r="A36" s="92" t="s">
        <v>352</v>
      </c>
      <c r="B36" s="81">
        <v>100</v>
      </c>
      <c r="C36" s="81">
        <v>150</v>
      </c>
      <c r="D36" s="81">
        <v>200</v>
      </c>
      <c r="E36" s="81">
        <v>250</v>
      </c>
      <c r="I36" s="130" t="s">
        <v>374</v>
      </c>
      <c r="J36" s="130"/>
      <c r="K36" s="130"/>
      <c r="O36" s="9" t="s">
        <v>46</v>
      </c>
      <c r="P36" s="50" t="s">
        <v>278</v>
      </c>
      <c r="Q36" s="50" t="s">
        <v>106</v>
      </c>
      <c r="R36" s="9">
        <v>4</v>
      </c>
      <c r="S36" s="47">
        <f>INDEX('Master (Filled)'!$Z$8:$Z$37,MATCH(Q36,'Master (Filled)'!$Y$8:$Y$37,0))</f>
        <v>45500</v>
      </c>
      <c r="T36" s="119">
        <f t="shared" si="0"/>
        <v>0.02</v>
      </c>
      <c r="U36" s="47">
        <f t="shared" si="1"/>
        <v>181090</v>
      </c>
      <c r="V36" s="50" t="s">
        <v>278</v>
      </c>
      <c r="W36" s="124">
        <f t="shared" si="2"/>
        <v>755</v>
      </c>
      <c r="X36" s="124">
        <f>SUMIF(Table1316[Category],Table1417[[#This Row],[Category]],Table1316[[Quantity ]])</f>
        <v>299</v>
      </c>
      <c r="Y36" s="124">
        <f>Table1417[[#This Row],[Inventory]]-Table1417[[#This Row],[Update ]]</f>
        <v>456</v>
      </c>
    </row>
    <row r="37" spans="1:25" x14ac:dyDescent="0.2">
      <c r="A37" s="92" t="s">
        <v>355</v>
      </c>
      <c r="B37" s="90">
        <f>B35*B36</f>
        <v>9424500</v>
      </c>
      <c r="C37" s="90">
        <f>C35*C36</f>
        <v>20344200</v>
      </c>
      <c r="D37" s="90">
        <f>D35*D36</f>
        <v>18511800</v>
      </c>
      <c r="E37" s="90">
        <f>E35*E36</f>
        <v>13182750</v>
      </c>
      <c r="O37" s="9" t="s">
        <v>110</v>
      </c>
      <c r="P37" s="50" t="s">
        <v>280</v>
      </c>
      <c r="Q37" s="50" t="s">
        <v>111</v>
      </c>
      <c r="R37" s="9">
        <v>4</v>
      </c>
      <c r="S37" s="47">
        <f>INDEX('Master (Filled)'!$Z$8:$Z$37,MATCH(Q37,'Master (Filled)'!$Y$8:$Y$37,0))</f>
        <v>45555</v>
      </c>
      <c r="T37" s="119">
        <f t="shared" si="0"/>
        <v>0.02</v>
      </c>
      <c r="U37" s="47">
        <f t="shared" si="1"/>
        <v>181308.9</v>
      </c>
      <c r="V37" s="50" t="s">
        <v>280</v>
      </c>
      <c r="W37" s="124">
        <f t="shared" si="2"/>
        <v>755</v>
      </c>
      <c r="X37" s="124">
        <f>SUMIF(Table1316[Category],Table1417[[#This Row],[Category]],Table1316[[Quantity ]])</f>
        <v>241</v>
      </c>
      <c r="Y37" s="124">
        <f>Table1417[[#This Row],[Inventory]]-Table1417[[#This Row],[Update ]]</f>
        <v>514</v>
      </c>
    </row>
    <row r="38" spans="1:25" x14ac:dyDescent="0.2">
      <c r="O38" s="9" t="s">
        <v>110</v>
      </c>
      <c r="P38" s="50" t="s">
        <v>280</v>
      </c>
      <c r="Q38" s="50" t="s">
        <v>32</v>
      </c>
      <c r="R38" s="9">
        <v>5</v>
      </c>
      <c r="S38" s="47">
        <f>INDEX('Master (Filled)'!$Z$8:$Z$37,MATCH(Q38,'Master (Filled)'!$Y$8:$Y$37,0))</f>
        <v>25500</v>
      </c>
      <c r="T38" s="119">
        <f t="shared" si="0"/>
        <v>0.02</v>
      </c>
      <c r="U38" s="47">
        <f t="shared" si="1"/>
        <v>126990</v>
      </c>
      <c r="V38" s="50" t="s">
        <v>280</v>
      </c>
      <c r="W38" s="124">
        <f t="shared" si="2"/>
        <v>755</v>
      </c>
      <c r="X38" s="124">
        <f>SUMIF(Table1316[Category],Table1417[[#This Row],[Category]],Table1316[[Quantity ]])</f>
        <v>241</v>
      </c>
      <c r="Y38" s="124">
        <f>Table1417[[#This Row],[Inventory]]-Table1417[[#This Row],[Update ]]</f>
        <v>514</v>
      </c>
    </row>
    <row r="39" spans="1:25" x14ac:dyDescent="0.2">
      <c r="O39" s="9" t="s">
        <v>19</v>
      </c>
      <c r="P39" s="50" t="s">
        <v>280</v>
      </c>
      <c r="Q39" s="50" t="s">
        <v>32</v>
      </c>
      <c r="R39" s="9">
        <v>5</v>
      </c>
      <c r="S39" s="47">
        <f>INDEX('Master (Filled)'!$Z$8:$Z$37,MATCH(Q39,'Master (Filled)'!$Y$8:$Y$37,0))</f>
        <v>25500</v>
      </c>
      <c r="T39" s="119">
        <f t="shared" si="0"/>
        <v>0.02</v>
      </c>
      <c r="U39" s="47">
        <f t="shared" si="1"/>
        <v>126990</v>
      </c>
      <c r="V39" s="50" t="s">
        <v>280</v>
      </c>
      <c r="W39" s="124">
        <f t="shared" si="2"/>
        <v>755</v>
      </c>
      <c r="X39" s="124">
        <f>SUMIF(Table1316[Category],Table1417[[#This Row],[Category]],Table1316[[Quantity ]])</f>
        <v>241</v>
      </c>
      <c r="Y39" s="124">
        <f>Table1417[[#This Row],[Inventory]]-Table1417[[#This Row],[Update ]]</f>
        <v>514</v>
      </c>
    </row>
    <row r="40" spans="1:25" x14ac:dyDescent="0.2">
      <c r="A40" s="92" t="s">
        <v>353</v>
      </c>
      <c r="B40" s="90">
        <v>500000</v>
      </c>
      <c r="C40" s="90">
        <v>930000</v>
      </c>
      <c r="D40" s="90">
        <v>1400000</v>
      </c>
      <c r="E40" s="90">
        <v>875000</v>
      </c>
      <c r="O40" s="9" t="s">
        <v>24</v>
      </c>
      <c r="P40" s="50" t="s">
        <v>280</v>
      </c>
      <c r="Q40" s="50" t="s">
        <v>115</v>
      </c>
      <c r="R40" s="9">
        <v>7</v>
      </c>
      <c r="S40" s="47">
        <f>INDEX('Master (Filled)'!$Z$8:$Z$37,MATCH(Q40,'Master (Filled)'!$Y$8:$Y$37,0))</f>
        <v>89999</v>
      </c>
      <c r="T40" s="119">
        <f t="shared" si="0"/>
        <v>0.02</v>
      </c>
      <c r="U40" s="47">
        <f t="shared" si="1"/>
        <v>628193.02</v>
      </c>
      <c r="V40" s="50" t="s">
        <v>280</v>
      </c>
      <c r="W40" s="124">
        <f t="shared" si="2"/>
        <v>755</v>
      </c>
      <c r="X40" s="124">
        <f>SUMIF(Table1316[Category],Table1417[[#This Row],[Category]],Table1316[[Quantity ]])</f>
        <v>241</v>
      </c>
      <c r="Y40" s="124">
        <f>Table1417[[#This Row],[Inventory]]-Table1417[[#This Row],[Update ]]</f>
        <v>514</v>
      </c>
    </row>
    <row r="41" spans="1:25" x14ac:dyDescent="0.2">
      <c r="A41" s="92" t="s">
        <v>344</v>
      </c>
      <c r="B41" s="90">
        <v>850000</v>
      </c>
      <c r="C41" s="90">
        <v>1162500</v>
      </c>
      <c r="D41" s="90">
        <v>1600000</v>
      </c>
      <c r="E41" s="90">
        <v>1950000</v>
      </c>
      <c r="O41" s="9" t="s">
        <v>24</v>
      </c>
      <c r="P41" s="50" t="s">
        <v>280</v>
      </c>
      <c r="Q41" s="50" t="s">
        <v>115</v>
      </c>
      <c r="R41" s="9">
        <v>8</v>
      </c>
      <c r="S41" s="47">
        <f>INDEX('Master (Filled)'!$Z$8:$Z$37,MATCH(Q41,'Master (Filled)'!$Y$8:$Y$37,0))</f>
        <v>89999</v>
      </c>
      <c r="T41" s="119">
        <f t="shared" si="0"/>
        <v>0.02</v>
      </c>
      <c r="U41" s="47">
        <f t="shared" si="1"/>
        <v>718192.02</v>
      </c>
      <c r="V41" s="50" t="s">
        <v>280</v>
      </c>
      <c r="W41" s="124">
        <f t="shared" si="2"/>
        <v>755</v>
      </c>
      <c r="X41" s="124">
        <f>SUMIF(Table1316[Category],Table1417[[#This Row],[Category]],Table1316[[Quantity ]])</f>
        <v>241</v>
      </c>
      <c r="Y41" s="124">
        <f>Table1417[[#This Row],[Inventory]]-Table1417[[#This Row],[Update ]]</f>
        <v>514</v>
      </c>
    </row>
    <row r="42" spans="1:25" x14ac:dyDescent="0.2">
      <c r="A42" s="92" t="s">
        <v>354</v>
      </c>
      <c r="B42" s="90">
        <v>350000</v>
      </c>
      <c r="C42" s="90">
        <v>675000</v>
      </c>
      <c r="D42" s="90">
        <v>2300000</v>
      </c>
      <c r="E42" s="90">
        <v>1750000</v>
      </c>
      <c r="O42" s="9" t="s">
        <v>24</v>
      </c>
      <c r="P42" s="50" t="s">
        <v>280</v>
      </c>
      <c r="Q42" s="50" t="s">
        <v>115</v>
      </c>
      <c r="R42" s="9">
        <v>8</v>
      </c>
      <c r="S42" s="47">
        <f>INDEX('Master (Filled)'!$Z$8:$Z$37,MATCH(Q42,'Master (Filled)'!$Y$8:$Y$37,0))</f>
        <v>89999</v>
      </c>
      <c r="T42" s="119">
        <f t="shared" si="0"/>
        <v>0.02</v>
      </c>
      <c r="U42" s="47">
        <f t="shared" si="1"/>
        <v>718192.02</v>
      </c>
      <c r="V42" s="50" t="s">
        <v>280</v>
      </c>
      <c r="W42" s="124">
        <f t="shared" si="2"/>
        <v>755</v>
      </c>
      <c r="X42" s="124">
        <f>SUMIF(Table1316[Category],Table1417[[#This Row],[Category]],Table1316[[Quantity ]])</f>
        <v>241</v>
      </c>
      <c r="Y42" s="124">
        <f>Table1417[[#This Row],[Inventory]]-Table1417[[#This Row],[Update ]]</f>
        <v>514</v>
      </c>
    </row>
    <row r="43" spans="1:25" x14ac:dyDescent="0.2">
      <c r="A43" s="92" t="s">
        <v>340</v>
      </c>
      <c r="B43" s="90">
        <f>SUM(B40:B42)</f>
        <v>1700000</v>
      </c>
      <c r="C43" s="90">
        <f>SUM(C40:C42)</f>
        <v>2767500</v>
      </c>
      <c r="D43" s="90">
        <f>SUM(D40:D42)</f>
        <v>5300000</v>
      </c>
      <c r="E43" s="90">
        <f>SUM(E40:E42)</f>
        <v>4575000</v>
      </c>
      <c r="O43" s="9" t="s">
        <v>110</v>
      </c>
      <c r="P43" s="50" t="s">
        <v>280</v>
      </c>
      <c r="Q43" s="50" t="s">
        <v>32</v>
      </c>
      <c r="R43" s="9">
        <v>7</v>
      </c>
      <c r="S43" s="47">
        <f>INDEX('Master (Filled)'!$Z$8:$Z$37,MATCH(Q43,'Master (Filled)'!$Y$8:$Y$37,0))</f>
        <v>25500</v>
      </c>
      <c r="T43" s="119">
        <f t="shared" si="0"/>
        <v>0.02</v>
      </c>
      <c r="U43" s="47">
        <f t="shared" si="1"/>
        <v>177990</v>
      </c>
      <c r="V43" s="50" t="s">
        <v>280</v>
      </c>
      <c r="W43" s="124">
        <f t="shared" si="2"/>
        <v>755</v>
      </c>
      <c r="X43" s="124">
        <f>SUMIF(Table1316[Category],Table1417[[#This Row],[Category]],Table1316[[Quantity ]])</f>
        <v>241</v>
      </c>
      <c r="Y43" s="124">
        <f>Table1417[[#This Row],[Inventory]]-Table1417[[#This Row],[Update ]]</f>
        <v>514</v>
      </c>
    </row>
    <row r="44" spans="1:25" x14ac:dyDescent="0.2">
      <c r="A44" s="100" t="s">
        <v>356</v>
      </c>
      <c r="B44" s="101">
        <f>B37-B43</f>
        <v>7724500</v>
      </c>
      <c r="C44" s="101">
        <f>C37-C43</f>
        <v>17576700</v>
      </c>
      <c r="D44" s="101">
        <f t="shared" ref="D44:E44" si="4">D37-D43</f>
        <v>13211800</v>
      </c>
      <c r="E44" s="101">
        <f t="shared" si="4"/>
        <v>8607750</v>
      </c>
      <c r="F44" s="131" t="s">
        <v>349</v>
      </c>
      <c r="G44" s="132"/>
      <c r="O44" s="9" t="s">
        <v>110</v>
      </c>
      <c r="P44" s="50" t="s">
        <v>280</v>
      </c>
      <c r="Q44" s="50" t="s">
        <v>32</v>
      </c>
      <c r="R44" s="9">
        <v>7</v>
      </c>
      <c r="S44" s="47">
        <f>INDEX('Master (Filled)'!$Z$8:$Z$37,MATCH(Q44,'Master (Filled)'!$Y$8:$Y$37,0))</f>
        <v>25500</v>
      </c>
      <c r="T44" s="119">
        <f t="shared" si="0"/>
        <v>0.02</v>
      </c>
      <c r="U44" s="47">
        <f t="shared" si="1"/>
        <v>177990</v>
      </c>
      <c r="V44" s="50" t="s">
        <v>280</v>
      </c>
      <c r="W44" s="124">
        <f t="shared" si="2"/>
        <v>755</v>
      </c>
      <c r="X44" s="124">
        <f>SUMIF(Table1316[Category],Table1417[[#This Row],[Category]],Table1316[[Quantity ]])</f>
        <v>241</v>
      </c>
      <c r="Y44" s="124">
        <f>Table1417[[#This Row],[Inventory]]-Table1417[[#This Row],[Update ]]</f>
        <v>514</v>
      </c>
    </row>
    <row r="45" spans="1:25" x14ac:dyDescent="0.2">
      <c r="O45" s="9" t="s">
        <v>19</v>
      </c>
      <c r="P45" s="50" t="s">
        <v>280</v>
      </c>
      <c r="Q45" s="50" t="s">
        <v>32</v>
      </c>
      <c r="R45" s="9">
        <v>5</v>
      </c>
      <c r="S45" s="47">
        <f>INDEX('Master (Filled)'!$Z$8:$Z$37,MATCH(Q45,'Master (Filled)'!$Y$8:$Y$37,0))</f>
        <v>25500</v>
      </c>
      <c r="T45" s="119">
        <f t="shared" si="0"/>
        <v>0.02</v>
      </c>
      <c r="U45" s="47">
        <f t="shared" si="1"/>
        <v>126990</v>
      </c>
      <c r="V45" s="50" t="s">
        <v>280</v>
      </c>
      <c r="W45" s="124">
        <f t="shared" si="2"/>
        <v>755</v>
      </c>
      <c r="X45" s="124">
        <f>SUMIF(Table1316[Category],Table1417[[#This Row],[Category]],Table1316[[Quantity ]])</f>
        <v>241</v>
      </c>
      <c r="Y45" s="124">
        <f>Table1417[[#This Row],[Inventory]]-Table1417[[#This Row],[Update ]]</f>
        <v>514</v>
      </c>
    </row>
    <row r="46" spans="1:25" x14ac:dyDescent="0.2">
      <c r="O46" s="9" t="s">
        <v>19</v>
      </c>
      <c r="P46" s="50" t="s">
        <v>280</v>
      </c>
      <c r="Q46" s="50" t="s">
        <v>32</v>
      </c>
      <c r="R46" s="9">
        <v>4</v>
      </c>
      <c r="S46" s="47">
        <f>INDEX('Master (Filled)'!$Z$8:$Z$37,MATCH(Q46,'Master (Filled)'!$Y$8:$Y$37,0))</f>
        <v>25500</v>
      </c>
      <c r="T46" s="119">
        <f t="shared" si="0"/>
        <v>0.02</v>
      </c>
      <c r="U46" s="47">
        <f t="shared" si="1"/>
        <v>101490</v>
      </c>
      <c r="V46" s="50" t="s">
        <v>280</v>
      </c>
      <c r="W46" s="124">
        <f t="shared" si="2"/>
        <v>755</v>
      </c>
      <c r="X46" s="124">
        <f>SUMIF(Table1316[Category],Table1417[[#This Row],[Category]],Table1316[[Quantity ]])</f>
        <v>241</v>
      </c>
      <c r="Y46" s="124">
        <f>Table1417[[#This Row],[Inventory]]-Table1417[[#This Row],[Update ]]</f>
        <v>514</v>
      </c>
    </row>
    <row r="47" spans="1:25" x14ac:dyDescent="0.2">
      <c r="O47" s="9" t="s">
        <v>80</v>
      </c>
      <c r="P47" s="50" t="s">
        <v>282</v>
      </c>
      <c r="Q47" s="49" t="s">
        <v>72</v>
      </c>
      <c r="R47" s="9">
        <v>6</v>
      </c>
      <c r="S47" s="47">
        <f>INDEX('Master (Filled)'!$Z$8:$Z$37,MATCH(Q47,'Master (Filled)'!$Y$8:$Y$37,0))</f>
        <v>110500</v>
      </c>
      <c r="T47" s="119">
        <f t="shared" si="0"/>
        <v>0.02</v>
      </c>
      <c r="U47" s="47">
        <f t="shared" si="1"/>
        <v>660790</v>
      </c>
      <c r="V47" s="50" t="s">
        <v>282</v>
      </c>
      <c r="W47" s="124">
        <f t="shared" si="2"/>
        <v>755</v>
      </c>
      <c r="X47" s="124">
        <f>SUMIF(Table1316[Category],Table1417[[#This Row],[Category]],Table1316[[Quantity ]])</f>
        <v>215</v>
      </c>
      <c r="Y47" s="124">
        <f>Table1417[[#This Row],[Inventory]]-Table1417[[#This Row],[Update ]]</f>
        <v>540</v>
      </c>
    </row>
    <row r="48" spans="1:25" x14ac:dyDescent="0.2">
      <c r="A48" s="53" t="s">
        <v>357</v>
      </c>
      <c r="O48" s="9" t="s">
        <v>61</v>
      </c>
      <c r="P48" s="50" t="s">
        <v>282</v>
      </c>
      <c r="Q48" s="49" t="s">
        <v>78</v>
      </c>
      <c r="R48" s="9">
        <v>8</v>
      </c>
      <c r="S48" s="47">
        <f>INDEX('Master (Filled)'!$Z$8:$Z$37,MATCH(Q48,'Master (Filled)'!$Y$8:$Y$37,0))</f>
        <v>135500</v>
      </c>
      <c r="T48" s="119">
        <f t="shared" si="0"/>
        <v>0.02</v>
      </c>
      <c r="U48" s="47">
        <f t="shared" si="1"/>
        <v>1081290</v>
      </c>
      <c r="V48" s="50" t="s">
        <v>282</v>
      </c>
      <c r="W48" s="124">
        <f t="shared" si="2"/>
        <v>755</v>
      </c>
      <c r="X48" s="124">
        <f>SUMIF(Table1316[Category],Table1417[[#This Row],[Category]],Table1316[[Quantity ]])</f>
        <v>215</v>
      </c>
      <c r="Y48" s="124">
        <f>Table1417[[#This Row],[Inventory]]-Table1417[[#This Row],[Update ]]</f>
        <v>540</v>
      </c>
    </row>
    <row r="49" spans="1:25" ht="17" x14ac:dyDescent="0.2">
      <c r="A49" s="92"/>
      <c r="B49" s="99" t="s">
        <v>276</v>
      </c>
      <c r="C49" s="99" t="s">
        <v>278</v>
      </c>
      <c r="D49" s="105" t="s">
        <v>282</v>
      </c>
      <c r="E49" s="99" t="s">
        <v>280</v>
      </c>
      <c r="F49" s="91"/>
      <c r="O49" s="9" t="s">
        <v>59</v>
      </c>
      <c r="P49" s="50" t="s">
        <v>276</v>
      </c>
      <c r="Q49" s="49" t="s">
        <v>125</v>
      </c>
      <c r="R49" s="9">
        <v>8</v>
      </c>
      <c r="S49" s="47">
        <f>INDEX('Master (Filled)'!$Z$8:$Z$37,MATCH(Q49,'Master (Filled)'!$Y$8:$Y$37,0))</f>
        <v>175000</v>
      </c>
      <c r="T49" s="119">
        <f t="shared" si="0"/>
        <v>0.02</v>
      </c>
      <c r="U49" s="47">
        <f t="shared" si="1"/>
        <v>1396500</v>
      </c>
      <c r="V49" s="50" t="s">
        <v>276</v>
      </c>
      <c r="W49" s="124">
        <f t="shared" si="2"/>
        <v>755</v>
      </c>
      <c r="X49" s="124">
        <f>SUMIF(Table1316[Category],Table1417[[#This Row],[Category]],Table1316[[Quantity ]])</f>
        <v>345</v>
      </c>
      <c r="Y49" s="124">
        <f>Table1417[[#This Row],[Inventory]]-Table1417[[#This Row],[Update ]]</f>
        <v>410</v>
      </c>
    </row>
    <row r="50" spans="1:25" x14ac:dyDescent="0.2">
      <c r="A50" s="103" t="s">
        <v>358</v>
      </c>
      <c r="B50" s="104">
        <v>100</v>
      </c>
      <c r="C50" s="104">
        <v>155</v>
      </c>
      <c r="D50" s="104">
        <v>185</v>
      </c>
      <c r="E50" s="104">
        <v>100</v>
      </c>
      <c r="F50" s="98">
        <v>700</v>
      </c>
      <c r="O50" s="9" t="s">
        <v>88</v>
      </c>
      <c r="P50" s="50" t="s">
        <v>276</v>
      </c>
      <c r="Q50" s="49" t="s">
        <v>127</v>
      </c>
      <c r="R50" s="9">
        <v>9</v>
      </c>
      <c r="S50" s="47">
        <f>INDEX('Master (Filled)'!$Z$8:$Z$37,MATCH(Q50,'Master (Filled)'!$Y$8:$Y$37,0))</f>
        <v>65000</v>
      </c>
      <c r="T50" s="119">
        <f t="shared" si="0"/>
        <v>0.03</v>
      </c>
      <c r="U50" s="47">
        <f t="shared" si="1"/>
        <v>583050</v>
      </c>
      <c r="V50" s="50" t="s">
        <v>276</v>
      </c>
      <c r="W50" s="124">
        <f t="shared" si="2"/>
        <v>755</v>
      </c>
      <c r="X50" s="124">
        <f>SUMIF(Table1316[Category],Table1417[[#This Row],[Category]],Table1316[[Quantity ]])</f>
        <v>345</v>
      </c>
      <c r="Y50" s="124">
        <f>Table1417[[#This Row],[Inventory]]-Table1417[[#This Row],[Update ]]</f>
        <v>410</v>
      </c>
    </row>
    <row r="51" spans="1:25" x14ac:dyDescent="0.2">
      <c r="A51" s="103" t="s">
        <v>359</v>
      </c>
      <c r="B51" s="104">
        <v>155</v>
      </c>
      <c r="C51" s="104">
        <v>165</v>
      </c>
      <c r="D51" s="104">
        <v>145</v>
      </c>
      <c r="E51" s="104">
        <v>85</v>
      </c>
      <c r="F51" s="98">
        <v>650</v>
      </c>
      <c r="O51" s="9" t="s">
        <v>56</v>
      </c>
      <c r="P51" s="50" t="s">
        <v>276</v>
      </c>
      <c r="Q51" s="49" t="s">
        <v>127</v>
      </c>
      <c r="R51" s="9">
        <v>11</v>
      </c>
      <c r="S51" s="47">
        <f>INDEX('Master (Filled)'!$Z$8:$Z$37,MATCH(Q51,'Master (Filled)'!$Y$8:$Y$37,0))</f>
        <v>65000</v>
      </c>
      <c r="T51" s="119">
        <f t="shared" si="0"/>
        <v>0.03</v>
      </c>
      <c r="U51" s="47">
        <f t="shared" si="1"/>
        <v>713050</v>
      </c>
      <c r="V51" s="50" t="s">
        <v>276</v>
      </c>
      <c r="W51" s="124">
        <f t="shared" si="2"/>
        <v>755</v>
      </c>
      <c r="X51" s="124">
        <f>SUMIF(Table1316[Category],Table1417[[#This Row],[Category]],Table1316[[Quantity ]])</f>
        <v>345</v>
      </c>
      <c r="Y51" s="124">
        <f>Table1417[[#This Row],[Inventory]]-Table1417[[#This Row],[Update ]]</f>
        <v>410</v>
      </c>
    </row>
    <row r="52" spans="1:25" x14ac:dyDescent="0.2">
      <c r="A52" s="103" t="s">
        <v>360</v>
      </c>
      <c r="B52" s="104">
        <v>220</v>
      </c>
      <c r="C52" s="104">
        <v>170</v>
      </c>
      <c r="D52" s="104">
        <v>135</v>
      </c>
      <c r="E52" s="104">
        <v>150</v>
      </c>
      <c r="F52" s="98">
        <v>750</v>
      </c>
      <c r="O52" s="9" t="s">
        <v>56</v>
      </c>
      <c r="P52" s="50" t="s">
        <v>276</v>
      </c>
      <c r="Q52" s="49" t="s">
        <v>131</v>
      </c>
      <c r="R52" s="9">
        <v>10</v>
      </c>
      <c r="S52" s="47">
        <f>INDEX('Master (Filled)'!$Z$8:$Z$37,MATCH(Q52,'Master (Filled)'!$Y$8:$Y$37,0))</f>
        <v>90000</v>
      </c>
      <c r="T52" s="119">
        <f t="shared" si="0"/>
        <v>0.03</v>
      </c>
      <c r="U52" s="47">
        <f t="shared" si="1"/>
        <v>897300</v>
      </c>
      <c r="V52" s="50" t="s">
        <v>276</v>
      </c>
      <c r="W52" s="124">
        <f t="shared" si="2"/>
        <v>755</v>
      </c>
      <c r="X52" s="124">
        <f>SUMIF(Table1316[Category],Table1417[[#This Row],[Category]],Table1316[[Quantity ]])</f>
        <v>345</v>
      </c>
      <c r="Y52" s="124">
        <f>Table1417[[#This Row],[Inventory]]-Table1417[[#This Row],[Update ]]</f>
        <v>410</v>
      </c>
    </row>
    <row r="53" spans="1:25" x14ac:dyDescent="0.2">
      <c r="A53" s="103" t="s">
        <v>361</v>
      </c>
      <c r="B53" s="104">
        <v>180</v>
      </c>
      <c r="C53" s="104">
        <v>250</v>
      </c>
      <c r="D53" s="104">
        <v>145</v>
      </c>
      <c r="E53" s="104">
        <v>200</v>
      </c>
      <c r="F53" s="98">
        <v>850</v>
      </c>
      <c r="O53" s="9" t="s">
        <v>56</v>
      </c>
      <c r="P53" s="50" t="s">
        <v>276</v>
      </c>
      <c r="Q53" s="49" t="s">
        <v>133</v>
      </c>
      <c r="R53" s="9">
        <v>9</v>
      </c>
      <c r="S53" s="47">
        <f>INDEX('Master (Filled)'!$Z$8:$Z$37,MATCH(Q53,'Master (Filled)'!$Y$8:$Y$37,0))</f>
        <v>95000</v>
      </c>
      <c r="T53" s="119">
        <f t="shared" si="0"/>
        <v>0.03</v>
      </c>
      <c r="U53" s="47">
        <f t="shared" si="1"/>
        <v>852150</v>
      </c>
      <c r="V53" s="50" t="s">
        <v>276</v>
      </c>
      <c r="W53" s="124">
        <f t="shared" si="2"/>
        <v>755</v>
      </c>
      <c r="X53" s="124">
        <f>SUMIF(Table1316[Category],Table1417[[#This Row],[Category]],Table1316[[Quantity ]])</f>
        <v>345</v>
      </c>
      <c r="Y53" s="124">
        <f>Table1417[[#This Row],[Inventory]]-Table1417[[#This Row],[Update ]]</f>
        <v>410</v>
      </c>
    </row>
    <row r="54" spans="1:25" x14ac:dyDescent="0.2">
      <c r="A54" s="81"/>
      <c r="B54" s="98">
        <v>700</v>
      </c>
      <c r="C54" s="98">
        <v>900</v>
      </c>
      <c r="D54" s="98">
        <v>855</v>
      </c>
      <c r="E54" s="98">
        <v>755</v>
      </c>
      <c r="F54" s="81"/>
      <c r="O54" s="9" t="s">
        <v>52</v>
      </c>
      <c r="P54" s="50" t="s">
        <v>276</v>
      </c>
      <c r="Q54" s="49" t="s">
        <v>133</v>
      </c>
      <c r="R54" s="9">
        <v>5</v>
      </c>
      <c r="S54" s="47">
        <f>INDEX('Master (Filled)'!$Z$8:$Z$37,MATCH(Q54,'Master (Filled)'!$Y$8:$Y$37,0))</f>
        <v>95000</v>
      </c>
      <c r="T54" s="119">
        <f t="shared" si="0"/>
        <v>0.02</v>
      </c>
      <c r="U54" s="47">
        <f t="shared" si="1"/>
        <v>473100</v>
      </c>
      <c r="V54" s="50" t="s">
        <v>276</v>
      </c>
      <c r="W54" s="124">
        <f t="shared" si="2"/>
        <v>755</v>
      </c>
      <c r="X54" s="124">
        <f>SUMIF(Table1316[Category],Table1417[[#This Row],[Category]],Table1316[[Quantity ]])</f>
        <v>345</v>
      </c>
      <c r="Y54" s="124">
        <f>Table1417[[#This Row],[Inventory]]-Table1417[[#This Row],[Update ]]</f>
        <v>410</v>
      </c>
    </row>
    <row r="55" spans="1:25" x14ac:dyDescent="0.2">
      <c r="O55" s="9" t="s">
        <v>52</v>
      </c>
      <c r="P55" s="50" t="s">
        <v>276</v>
      </c>
      <c r="Q55" s="49" t="s">
        <v>133</v>
      </c>
      <c r="R55" s="9">
        <v>5</v>
      </c>
      <c r="S55" s="47">
        <f>INDEX('Master (Filled)'!$Z$8:$Z$37,MATCH(Q55,'Master (Filled)'!$Y$8:$Y$37,0))</f>
        <v>95000</v>
      </c>
      <c r="T55" s="119">
        <f t="shared" si="0"/>
        <v>0.02</v>
      </c>
      <c r="U55" s="47">
        <f t="shared" si="1"/>
        <v>473100</v>
      </c>
      <c r="V55" s="50" t="s">
        <v>276</v>
      </c>
      <c r="W55" s="124">
        <f t="shared" si="2"/>
        <v>755</v>
      </c>
      <c r="X55" s="124">
        <f>SUMIF(Table1316[Category],Table1417[[#This Row],[Category]],Table1316[[Quantity ]])</f>
        <v>345</v>
      </c>
      <c r="Y55" s="124">
        <f>Table1417[[#This Row],[Inventory]]-Table1417[[#This Row],[Update ]]</f>
        <v>410</v>
      </c>
    </row>
    <row r="56" spans="1:25" x14ac:dyDescent="0.2">
      <c r="O56" s="9" t="s">
        <v>103</v>
      </c>
      <c r="P56" s="50" t="s">
        <v>278</v>
      </c>
      <c r="Q56" s="50" t="s">
        <v>137</v>
      </c>
      <c r="R56" s="9">
        <v>3</v>
      </c>
      <c r="S56" s="47">
        <f>INDEX('Master (Filled)'!$Z$8:$Z$37,MATCH(Q56,'Master (Filled)'!$Y$8:$Y$37,0))</f>
        <v>115000</v>
      </c>
      <c r="T56" s="119">
        <f t="shared" si="0"/>
        <v>0.02</v>
      </c>
      <c r="U56" s="47">
        <f t="shared" si="1"/>
        <v>342700</v>
      </c>
      <c r="V56" s="50" t="s">
        <v>278</v>
      </c>
      <c r="W56" s="124">
        <f t="shared" si="2"/>
        <v>755</v>
      </c>
      <c r="X56" s="124">
        <f>SUMIF(Table1316[Category],Table1417[[#This Row],[Category]],Table1316[[Quantity ]])</f>
        <v>299</v>
      </c>
      <c r="Y56" s="124">
        <f>Table1417[[#This Row],[Inventory]]-Table1417[[#This Row],[Update ]]</f>
        <v>456</v>
      </c>
    </row>
    <row r="57" spans="1:25" x14ac:dyDescent="0.2">
      <c r="A57" s="39" t="s">
        <v>362</v>
      </c>
      <c r="O57" s="9" t="s">
        <v>103</v>
      </c>
      <c r="P57" s="50" t="s">
        <v>278</v>
      </c>
      <c r="Q57" s="50" t="s">
        <v>137</v>
      </c>
      <c r="R57" s="9">
        <v>2</v>
      </c>
      <c r="S57" s="47">
        <f>INDEX('Master (Filled)'!$Z$8:$Z$37,MATCH(Q57,'Master (Filled)'!$Y$8:$Y$37,0))</f>
        <v>115000</v>
      </c>
      <c r="T57" s="119">
        <f t="shared" si="0"/>
        <v>0.02</v>
      </c>
      <c r="U57" s="47">
        <f t="shared" si="1"/>
        <v>227700</v>
      </c>
      <c r="V57" s="50" t="s">
        <v>278</v>
      </c>
      <c r="W57" s="124">
        <f t="shared" si="2"/>
        <v>755</v>
      </c>
      <c r="X57" s="124">
        <f>SUMIF(Table1316[Category],Table1417[[#This Row],[Category]],Table1316[[Quantity ]])</f>
        <v>299</v>
      </c>
      <c r="Y57" s="124">
        <f>Table1417[[#This Row],[Inventory]]-Table1417[[#This Row],[Update ]]</f>
        <v>456</v>
      </c>
    </row>
    <row r="58" spans="1:25" x14ac:dyDescent="0.2">
      <c r="O58" s="9" t="s">
        <v>19</v>
      </c>
      <c r="P58" s="50" t="s">
        <v>280</v>
      </c>
      <c r="Q58" s="50" t="s">
        <v>111</v>
      </c>
      <c r="R58" s="9">
        <v>2</v>
      </c>
      <c r="S58" s="47">
        <f>INDEX('Master (Filled)'!$Z$8:$Z$37,MATCH(Q58,'Master (Filled)'!$Y$8:$Y$37,0))</f>
        <v>45555</v>
      </c>
      <c r="T58" s="119">
        <f t="shared" si="0"/>
        <v>0.02</v>
      </c>
      <c r="U58" s="47">
        <f t="shared" si="1"/>
        <v>90198.9</v>
      </c>
      <c r="V58" s="50" t="s">
        <v>280</v>
      </c>
      <c r="W58" s="124">
        <f t="shared" si="2"/>
        <v>755</v>
      </c>
      <c r="X58" s="124">
        <f>SUMIF(Table1316[Category],Table1417[[#This Row],[Category]],Table1316[[Quantity ]])</f>
        <v>241</v>
      </c>
      <c r="Y58" s="124">
        <f>Table1417[[#This Row],[Inventory]]-Table1417[[#This Row],[Update ]]</f>
        <v>514</v>
      </c>
    </row>
    <row r="59" spans="1:25" ht="17" x14ac:dyDescent="0.2">
      <c r="A59" s="92"/>
      <c r="B59" s="99" t="s">
        <v>276</v>
      </c>
      <c r="C59" s="99" t="s">
        <v>278</v>
      </c>
      <c r="D59" s="105" t="s">
        <v>282</v>
      </c>
      <c r="E59" s="99" t="s">
        <v>280</v>
      </c>
      <c r="F59" s="92"/>
      <c r="O59" s="9" t="s">
        <v>31</v>
      </c>
      <c r="P59" s="50" t="s">
        <v>280</v>
      </c>
      <c r="Q59" s="50" t="s">
        <v>111</v>
      </c>
      <c r="R59" s="9">
        <v>2</v>
      </c>
      <c r="S59" s="47">
        <f>INDEX('Master (Filled)'!$Z$8:$Z$37,MATCH(Q59,'Master (Filled)'!$Y$8:$Y$37,0))</f>
        <v>45555</v>
      </c>
      <c r="T59" s="119">
        <f t="shared" si="0"/>
        <v>0.02</v>
      </c>
      <c r="U59" s="47">
        <f t="shared" si="1"/>
        <v>90198.9</v>
      </c>
      <c r="V59" s="50" t="s">
        <v>280</v>
      </c>
      <c r="W59" s="124">
        <f t="shared" si="2"/>
        <v>755</v>
      </c>
      <c r="X59" s="124">
        <f>SUMIF(Table1316[Category],Table1417[[#This Row],[Category]],Table1316[[Quantity ]])</f>
        <v>241</v>
      </c>
      <c r="Y59" s="124">
        <f>Table1417[[#This Row],[Inventory]]-Table1417[[#This Row],[Update ]]</f>
        <v>514</v>
      </c>
    </row>
    <row r="60" spans="1:25" x14ac:dyDescent="0.2">
      <c r="A60" s="103" t="s">
        <v>358</v>
      </c>
      <c r="B60" s="104">
        <v>0</v>
      </c>
      <c r="C60" s="104">
        <v>0</v>
      </c>
      <c r="D60" s="106">
        <v>700</v>
      </c>
      <c r="E60" s="104">
        <v>0</v>
      </c>
      <c r="F60" s="104">
        <f>SUM(B60:E60)</f>
        <v>700</v>
      </c>
      <c r="G60" s="37">
        <v>700</v>
      </c>
      <c r="O60" s="9" t="s">
        <v>36</v>
      </c>
      <c r="P60" s="50" t="s">
        <v>278</v>
      </c>
      <c r="Q60" s="50" t="s">
        <v>104</v>
      </c>
      <c r="R60" s="9">
        <v>4</v>
      </c>
      <c r="S60" s="47">
        <f>INDEX('Master (Filled)'!$Z$8:$Z$37,MATCH(Q60,'Master (Filled)'!$Y$8:$Y$37,0))</f>
        <v>225000</v>
      </c>
      <c r="T60" s="119">
        <f t="shared" si="0"/>
        <v>0.02</v>
      </c>
      <c r="U60" s="47">
        <f t="shared" si="1"/>
        <v>895500</v>
      </c>
      <c r="V60" s="50" t="s">
        <v>278</v>
      </c>
      <c r="W60" s="124">
        <f t="shared" si="2"/>
        <v>755</v>
      </c>
      <c r="X60" s="124">
        <f>SUMIF(Table1316[Category],Table1417[[#This Row],[Category]],Table1316[[Quantity ]])</f>
        <v>299</v>
      </c>
      <c r="Y60" s="124">
        <f>Table1417[[#This Row],[Inventory]]-Table1417[[#This Row],[Update ]]</f>
        <v>456</v>
      </c>
    </row>
    <row r="61" spans="1:25" x14ac:dyDescent="0.2">
      <c r="A61" s="103" t="s">
        <v>359</v>
      </c>
      <c r="B61" s="104">
        <v>0</v>
      </c>
      <c r="C61" s="106">
        <v>495</v>
      </c>
      <c r="D61" s="106">
        <v>155</v>
      </c>
      <c r="E61" s="104">
        <v>0</v>
      </c>
      <c r="F61" s="104">
        <f>SUM(B61:E61)</f>
        <v>650</v>
      </c>
      <c r="G61" s="37">
        <v>650</v>
      </c>
      <c r="O61" s="9" t="s">
        <v>40</v>
      </c>
      <c r="P61" s="50" t="s">
        <v>278</v>
      </c>
      <c r="Q61" s="50" t="s">
        <v>37</v>
      </c>
      <c r="R61" s="9">
        <v>5</v>
      </c>
      <c r="S61" s="47">
        <f>INDEX('Master (Filled)'!$Z$8:$Z$37,MATCH(Q61,'Master (Filled)'!$Y$8:$Y$37,0))</f>
        <v>195000</v>
      </c>
      <c r="T61" s="119">
        <f t="shared" si="0"/>
        <v>0.02</v>
      </c>
      <c r="U61" s="47">
        <f t="shared" si="1"/>
        <v>971100</v>
      </c>
      <c r="V61" s="50" t="s">
        <v>278</v>
      </c>
      <c r="W61" s="124">
        <f t="shared" si="2"/>
        <v>755</v>
      </c>
      <c r="X61" s="124">
        <f>SUMIF(Table1316[Category],Table1417[[#This Row],[Category]],Table1316[[Quantity ]])</f>
        <v>299</v>
      </c>
      <c r="Y61" s="124">
        <f>Table1417[[#This Row],[Inventory]]-Table1417[[#This Row],[Update ]]</f>
        <v>456</v>
      </c>
    </row>
    <row r="62" spans="1:25" x14ac:dyDescent="0.2">
      <c r="A62" s="103" t="s">
        <v>360</v>
      </c>
      <c r="B62" s="106">
        <v>700</v>
      </c>
      <c r="C62" s="104">
        <v>0</v>
      </c>
      <c r="D62" s="104">
        <v>0</v>
      </c>
      <c r="E62" s="106">
        <v>50</v>
      </c>
      <c r="F62" s="104">
        <f>SUM(B62:E62)</f>
        <v>750</v>
      </c>
      <c r="G62" s="37">
        <v>750</v>
      </c>
      <c r="O62" s="9" t="s">
        <v>40</v>
      </c>
      <c r="P62" s="50" t="s">
        <v>278</v>
      </c>
      <c r="Q62" s="50" t="s">
        <v>37</v>
      </c>
      <c r="R62" s="9">
        <v>5</v>
      </c>
      <c r="S62" s="47">
        <f>INDEX('Master (Filled)'!$Z$8:$Z$37,MATCH(Q62,'Master (Filled)'!$Y$8:$Y$37,0))</f>
        <v>195000</v>
      </c>
      <c r="T62" s="119">
        <f t="shared" si="0"/>
        <v>0.02</v>
      </c>
      <c r="U62" s="47">
        <f t="shared" si="1"/>
        <v>971100</v>
      </c>
      <c r="V62" s="50" t="s">
        <v>278</v>
      </c>
      <c r="W62" s="124">
        <f t="shared" si="2"/>
        <v>755</v>
      </c>
      <c r="X62" s="124">
        <f>SUMIF(Table1316[Category],Table1417[[#This Row],[Category]],Table1316[[Quantity ]])</f>
        <v>299</v>
      </c>
      <c r="Y62" s="124">
        <f>Table1417[[#This Row],[Inventory]]-Table1417[[#This Row],[Update ]]</f>
        <v>456</v>
      </c>
    </row>
    <row r="63" spans="1:25" x14ac:dyDescent="0.2">
      <c r="A63" s="103" t="s">
        <v>361</v>
      </c>
      <c r="B63" s="104">
        <v>0</v>
      </c>
      <c r="C63" s="106">
        <v>405</v>
      </c>
      <c r="D63" s="104">
        <v>0</v>
      </c>
      <c r="E63" s="106">
        <v>445</v>
      </c>
      <c r="F63" s="104">
        <f>SUM(B63:E63)</f>
        <v>850</v>
      </c>
      <c r="G63" s="37">
        <v>850</v>
      </c>
      <c r="O63" s="9" t="s">
        <v>46</v>
      </c>
      <c r="P63" s="50" t="s">
        <v>278</v>
      </c>
      <c r="Q63" s="50" t="s">
        <v>37</v>
      </c>
      <c r="R63" s="9">
        <v>7</v>
      </c>
      <c r="S63" s="47">
        <f>INDEX('Master (Filled)'!$Z$8:$Z$37,MATCH(Q63,'Master (Filled)'!$Y$8:$Y$37,0))</f>
        <v>195000</v>
      </c>
      <c r="T63" s="119">
        <f t="shared" si="0"/>
        <v>0.02</v>
      </c>
      <c r="U63" s="47">
        <f t="shared" si="1"/>
        <v>1361100</v>
      </c>
      <c r="V63" s="50" t="s">
        <v>278</v>
      </c>
      <c r="W63" s="124">
        <f t="shared" si="2"/>
        <v>755</v>
      </c>
      <c r="X63" s="124">
        <f>SUMIF(Table1316[Category],Table1417[[#This Row],[Category]],Table1316[[Quantity ]])</f>
        <v>299</v>
      </c>
      <c r="Y63" s="124">
        <f>Table1417[[#This Row],[Inventory]]-Table1417[[#This Row],[Update ]]</f>
        <v>456</v>
      </c>
    </row>
    <row r="64" spans="1:25" x14ac:dyDescent="0.2">
      <c r="A64" s="81"/>
      <c r="B64" s="104">
        <f>SUM(B60:B63)</f>
        <v>700</v>
      </c>
      <c r="C64" s="104">
        <f>SUM(C60:C63)</f>
        <v>900</v>
      </c>
      <c r="D64" s="104">
        <f>SUM(D60:D63)</f>
        <v>855</v>
      </c>
      <c r="E64" s="104">
        <f>SUM(E60:E63)</f>
        <v>495</v>
      </c>
      <c r="F64" s="81"/>
      <c r="O64" s="9" t="s">
        <v>36</v>
      </c>
      <c r="P64" s="50" t="s">
        <v>278</v>
      </c>
      <c r="Q64" s="50" t="s">
        <v>104</v>
      </c>
      <c r="R64" s="9">
        <v>7</v>
      </c>
      <c r="S64" s="47">
        <f>INDEX('Master (Filled)'!$Z$8:$Z$37,MATCH(Q64,'Master (Filled)'!$Y$8:$Y$37,0))</f>
        <v>225000</v>
      </c>
      <c r="T64" s="119">
        <f t="shared" si="0"/>
        <v>0.02</v>
      </c>
      <c r="U64" s="47">
        <f t="shared" si="1"/>
        <v>1570500</v>
      </c>
      <c r="V64" s="50" t="s">
        <v>278</v>
      </c>
      <c r="W64" s="124">
        <f t="shared" si="2"/>
        <v>755</v>
      </c>
      <c r="X64" s="124">
        <f>SUMIF(Table1316[Category],Table1417[[#This Row],[Category]],Table1316[[Quantity ]])</f>
        <v>299</v>
      </c>
      <c r="Y64" s="124">
        <f>Table1417[[#This Row],[Inventory]]-Table1417[[#This Row],[Update ]]</f>
        <v>456</v>
      </c>
    </row>
    <row r="65" spans="1:25" x14ac:dyDescent="0.2">
      <c r="A65" s="81"/>
      <c r="B65" s="98">
        <v>700</v>
      </c>
      <c r="C65" s="98">
        <v>900</v>
      </c>
      <c r="D65" s="98">
        <v>855</v>
      </c>
      <c r="E65" s="98">
        <v>755</v>
      </c>
      <c r="F65" s="81"/>
      <c r="O65" s="9" t="s">
        <v>52</v>
      </c>
      <c r="P65" s="50" t="s">
        <v>276</v>
      </c>
      <c r="Q65" s="49" t="s">
        <v>147</v>
      </c>
      <c r="R65" s="9">
        <v>7</v>
      </c>
      <c r="S65" s="47">
        <f>INDEX('Master (Filled)'!$Z$8:$Z$37,MATCH(Q65,'Master (Filled)'!$Y$8:$Y$37,0))</f>
        <v>125000</v>
      </c>
      <c r="T65" s="119">
        <f t="shared" si="0"/>
        <v>0.02</v>
      </c>
      <c r="U65" s="47">
        <f t="shared" si="1"/>
        <v>872500</v>
      </c>
      <c r="V65" s="50" t="s">
        <v>276</v>
      </c>
      <c r="W65" s="124">
        <f t="shared" si="2"/>
        <v>755</v>
      </c>
      <c r="X65" s="124">
        <f>SUMIF(Table1316[Category],Table1417[[#This Row],[Category]],Table1316[[Quantity ]])</f>
        <v>345</v>
      </c>
      <c r="Y65" s="124">
        <f>Table1417[[#This Row],[Inventory]]-Table1417[[#This Row],[Update ]]</f>
        <v>410</v>
      </c>
    </row>
    <row r="66" spans="1:25" x14ac:dyDescent="0.2">
      <c r="O66" s="9" t="s">
        <v>56</v>
      </c>
      <c r="P66" s="50" t="s">
        <v>276</v>
      </c>
      <c r="Q66" s="49" t="s">
        <v>99</v>
      </c>
      <c r="R66" s="9">
        <v>8</v>
      </c>
      <c r="S66" s="47">
        <f>INDEX('Master (Filled)'!$Z$8:$Z$37,MATCH(Q66,'Master (Filled)'!$Y$8:$Y$37,0))</f>
        <v>185000</v>
      </c>
      <c r="T66" s="119">
        <f t="shared" si="0"/>
        <v>0.02</v>
      </c>
      <c r="U66" s="47">
        <f t="shared" si="1"/>
        <v>1476300</v>
      </c>
      <c r="V66" s="50" t="s">
        <v>276</v>
      </c>
      <c r="W66" s="124">
        <f t="shared" si="2"/>
        <v>755</v>
      </c>
      <c r="X66" s="124">
        <f>SUMIF(Table1316[Category],Table1417[[#This Row],[Category]],Table1316[[Quantity ]])</f>
        <v>345</v>
      </c>
      <c r="Y66" s="124">
        <f>Table1417[[#This Row],[Inventory]]-Table1417[[#This Row],[Update ]]</f>
        <v>410</v>
      </c>
    </row>
    <row r="67" spans="1:25" x14ac:dyDescent="0.2">
      <c r="A67" s="107" t="s">
        <v>363</v>
      </c>
      <c r="B67" s="108">
        <f>SUMPRODUCT(B60:E63,B50:E53)</f>
        <v>585400</v>
      </c>
      <c r="O67" s="9" t="s">
        <v>59</v>
      </c>
      <c r="P67" s="50" t="s">
        <v>276</v>
      </c>
      <c r="Q67" s="49" t="s">
        <v>99</v>
      </c>
      <c r="R67" s="9">
        <v>8</v>
      </c>
      <c r="S67" s="47">
        <f>INDEX('Master (Filled)'!$Z$8:$Z$37,MATCH(Q67,'Master (Filled)'!$Y$8:$Y$37,0))</f>
        <v>185000</v>
      </c>
      <c r="T67" s="119">
        <f t="shared" si="0"/>
        <v>0.02</v>
      </c>
      <c r="U67" s="47">
        <f t="shared" si="1"/>
        <v>1476300</v>
      </c>
      <c r="V67" s="50" t="s">
        <v>276</v>
      </c>
      <c r="W67" s="124">
        <f t="shared" si="2"/>
        <v>755</v>
      </c>
      <c r="X67" s="124">
        <f>SUMIF(Table1316[Category],Table1417[[#This Row],[Category]],Table1316[[Quantity ]])</f>
        <v>345</v>
      </c>
      <c r="Y67" s="124">
        <f>Table1417[[#This Row],[Inventory]]-Table1417[[#This Row],[Update ]]</f>
        <v>410</v>
      </c>
    </row>
    <row r="68" spans="1:25" x14ac:dyDescent="0.2">
      <c r="O68" s="9" t="s">
        <v>61</v>
      </c>
      <c r="P68" s="50" t="s">
        <v>282</v>
      </c>
      <c r="Q68" s="49" t="s">
        <v>62</v>
      </c>
      <c r="R68" s="9">
        <v>9</v>
      </c>
      <c r="S68" s="47">
        <f>INDEX('Master (Filled)'!$Z$8:$Z$37,MATCH(Q68,'Master (Filled)'!$Y$8:$Y$37,0))</f>
        <v>75000</v>
      </c>
      <c r="T68" s="119">
        <f t="shared" si="0"/>
        <v>0.03</v>
      </c>
      <c r="U68" s="47">
        <f t="shared" si="1"/>
        <v>672750</v>
      </c>
      <c r="V68" s="50" t="s">
        <v>282</v>
      </c>
      <c r="W68" s="124">
        <f t="shared" si="2"/>
        <v>755</v>
      </c>
      <c r="X68" s="124">
        <f>SUMIF(Table1316[Category],Table1417[[#This Row],[Category]],Table1316[[Quantity ]])</f>
        <v>215</v>
      </c>
      <c r="Y68" s="124">
        <f>Table1417[[#This Row],[Inventory]]-Table1417[[#This Row],[Update ]]</f>
        <v>540</v>
      </c>
    </row>
    <row r="69" spans="1:25" x14ac:dyDescent="0.2">
      <c r="O69" s="9" t="s">
        <v>36</v>
      </c>
      <c r="P69" s="50" t="s">
        <v>278</v>
      </c>
      <c r="Q69" s="50" t="s">
        <v>106</v>
      </c>
      <c r="R69" s="9">
        <v>12</v>
      </c>
      <c r="S69" s="47">
        <f>INDEX('Master (Filled)'!$Z$8:$Z$37,MATCH(Q69,'Master (Filled)'!$Y$8:$Y$37,0))</f>
        <v>45500</v>
      </c>
      <c r="T69" s="119">
        <f t="shared" ref="T69:T132" si="5">IF(R69&gt;8,3%,2%)</f>
        <v>0.03</v>
      </c>
      <c r="U69" s="47">
        <f t="shared" ref="U69:U132" si="6">(R69*S69)-(S69*T69)</f>
        <v>544635</v>
      </c>
      <c r="V69" s="50" t="s">
        <v>278</v>
      </c>
      <c r="W69" s="124">
        <f t="shared" ref="W69:W88" si="7">IF(Q69="Food Product",700,IF(Q69="Non Food Product",900,IF(Q69="General Merchandise Product",855,755)))</f>
        <v>755</v>
      </c>
      <c r="X69" s="124">
        <f>SUMIF(Table1316[Category],Table1417[[#This Row],[Category]],Table1316[[Quantity ]])</f>
        <v>299</v>
      </c>
      <c r="Y69" s="124">
        <f>Table1417[[#This Row],[Inventory]]-Table1417[[#This Row],[Update ]]</f>
        <v>456</v>
      </c>
    </row>
    <row r="70" spans="1:25" x14ac:dyDescent="0.2">
      <c r="O70" s="9" t="s">
        <v>40</v>
      </c>
      <c r="P70" s="50" t="s">
        <v>278</v>
      </c>
      <c r="Q70" s="50" t="s">
        <v>41</v>
      </c>
      <c r="R70" s="9">
        <v>11</v>
      </c>
      <c r="S70" s="47">
        <f>INDEX('Master (Filled)'!$Z$8:$Z$37,MATCH(Q70,'Master (Filled)'!$Y$8:$Y$37,0))</f>
        <v>85500</v>
      </c>
      <c r="T70" s="119">
        <f t="shared" si="5"/>
        <v>0.03</v>
      </c>
      <c r="U70" s="47">
        <f t="shared" si="6"/>
        <v>937935</v>
      </c>
      <c r="V70" s="50" t="s">
        <v>278</v>
      </c>
      <c r="W70" s="124">
        <f t="shared" si="7"/>
        <v>755</v>
      </c>
      <c r="X70" s="124">
        <f>SUMIF(Table1316[Category],Table1417[[#This Row],[Category]],Table1316[[Quantity ]])</f>
        <v>299</v>
      </c>
      <c r="Y70" s="124">
        <f>Table1417[[#This Row],[Inventory]]-Table1417[[#This Row],[Update ]]</f>
        <v>456</v>
      </c>
    </row>
    <row r="71" spans="1:25" x14ac:dyDescent="0.2">
      <c r="O71" s="9" t="s">
        <v>40</v>
      </c>
      <c r="P71" s="50" t="s">
        <v>278</v>
      </c>
      <c r="Q71" s="50" t="s">
        <v>106</v>
      </c>
      <c r="R71" s="9">
        <v>11</v>
      </c>
      <c r="S71" s="47">
        <f>INDEX('Master (Filled)'!$Z$8:$Z$37,MATCH(Q71,'Master (Filled)'!$Y$8:$Y$37,0))</f>
        <v>45500</v>
      </c>
      <c r="T71" s="119">
        <f t="shared" si="5"/>
        <v>0.03</v>
      </c>
      <c r="U71" s="47">
        <f t="shared" si="6"/>
        <v>499135</v>
      </c>
      <c r="V71" s="50" t="s">
        <v>278</v>
      </c>
      <c r="W71" s="124">
        <f t="shared" si="7"/>
        <v>755</v>
      </c>
      <c r="X71" s="124">
        <f>SUMIF(Table1316[Category],Table1417[[#This Row],[Category]],Table1316[[Quantity ]])</f>
        <v>299</v>
      </c>
      <c r="Y71" s="124">
        <f>Table1417[[#This Row],[Inventory]]-Table1417[[#This Row],[Update ]]</f>
        <v>456</v>
      </c>
    </row>
    <row r="72" spans="1:25" x14ac:dyDescent="0.2">
      <c r="O72" s="9" t="s">
        <v>46</v>
      </c>
      <c r="P72" s="50" t="s">
        <v>278</v>
      </c>
      <c r="Q72" s="50" t="s">
        <v>106</v>
      </c>
      <c r="R72" s="9">
        <v>15</v>
      </c>
      <c r="S72" s="47">
        <f>INDEX('Master (Filled)'!$Z$8:$Z$37,MATCH(Q72,'Master (Filled)'!$Y$8:$Y$37,0))</f>
        <v>45500</v>
      </c>
      <c r="T72" s="119">
        <f t="shared" si="5"/>
        <v>0.03</v>
      </c>
      <c r="U72" s="47">
        <f t="shared" si="6"/>
        <v>681135</v>
      </c>
      <c r="V72" s="50" t="s">
        <v>278</v>
      </c>
      <c r="W72" s="124">
        <f t="shared" si="7"/>
        <v>755</v>
      </c>
      <c r="X72" s="124">
        <f>SUMIF(Table1316[Category],Table1417[[#This Row],[Category]],Table1316[[Quantity ]])</f>
        <v>299</v>
      </c>
      <c r="Y72" s="124">
        <f>Table1417[[#This Row],[Inventory]]-Table1417[[#This Row],[Update ]]</f>
        <v>456</v>
      </c>
    </row>
    <row r="73" spans="1:25" x14ac:dyDescent="0.2">
      <c r="O73" s="9" t="s">
        <v>36</v>
      </c>
      <c r="P73" s="50" t="s">
        <v>278</v>
      </c>
      <c r="Q73" s="50" t="s">
        <v>41</v>
      </c>
      <c r="R73" s="9">
        <v>13</v>
      </c>
      <c r="S73" s="47">
        <f>INDEX('Master (Filled)'!$Z$8:$Z$37,MATCH(Q73,'Master (Filled)'!$Y$8:$Y$37,0))</f>
        <v>85500</v>
      </c>
      <c r="T73" s="119">
        <f t="shared" si="5"/>
        <v>0.03</v>
      </c>
      <c r="U73" s="47">
        <f t="shared" si="6"/>
        <v>1108935</v>
      </c>
      <c r="V73" s="50" t="s">
        <v>278</v>
      </c>
      <c r="W73" s="124">
        <f t="shared" si="7"/>
        <v>755</v>
      </c>
      <c r="X73" s="124">
        <f>SUMIF(Table1316[Category],Table1417[[#This Row],[Category]],Table1316[[Quantity ]])</f>
        <v>299</v>
      </c>
      <c r="Y73" s="124">
        <f>Table1417[[#This Row],[Inventory]]-Table1417[[#This Row],[Update ]]</f>
        <v>456</v>
      </c>
    </row>
    <row r="74" spans="1:25" x14ac:dyDescent="0.2">
      <c r="O74" s="9" t="s">
        <v>52</v>
      </c>
      <c r="P74" s="50" t="s">
        <v>276</v>
      </c>
      <c r="Q74" s="49" t="s">
        <v>92</v>
      </c>
      <c r="R74" s="9">
        <v>2</v>
      </c>
      <c r="S74" s="47">
        <f>INDEX('Master (Filled)'!$Z$8:$Z$37,MATCH(Q74,'Master (Filled)'!$Y$8:$Y$37,0))</f>
        <v>55000</v>
      </c>
      <c r="T74" s="119">
        <f t="shared" si="5"/>
        <v>0.02</v>
      </c>
      <c r="U74" s="47">
        <f t="shared" si="6"/>
        <v>108900</v>
      </c>
      <c r="V74" s="50" t="s">
        <v>276</v>
      </c>
      <c r="W74" s="124">
        <f t="shared" si="7"/>
        <v>755</v>
      </c>
      <c r="X74" s="124">
        <f>SUMIF(Table1316[Category],Table1417[[#This Row],[Category]],Table1316[[Quantity ]])</f>
        <v>345</v>
      </c>
      <c r="Y74" s="124">
        <f>Table1417[[#This Row],[Inventory]]-Table1417[[#This Row],[Update ]]</f>
        <v>410</v>
      </c>
    </row>
    <row r="75" spans="1:25" x14ac:dyDescent="0.2">
      <c r="O75" s="9" t="s">
        <v>56</v>
      </c>
      <c r="P75" s="50" t="s">
        <v>276</v>
      </c>
      <c r="Q75" s="49" t="s">
        <v>92</v>
      </c>
      <c r="R75" s="9">
        <v>2</v>
      </c>
      <c r="S75" s="47">
        <f>INDEX('Master (Filled)'!$Z$8:$Z$37,MATCH(Q75,'Master (Filled)'!$Y$8:$Y$37,0))</f>
        <v>55000</v>
      </c>
      <c r="T75" s="119">
        <f t="shared" si="5"/>
        <v>0.02</v>
      </c>
      <c r="U75" s="47">
        <f t="shared" si="6"/>
        <v>108900</v>
      </c>
      <c r="V75" s="50" t="s">
        <v>276</v>
      </c>
      <c r="W75" s="124">
        <f t="shared" si="7"/>
        <v>755</v>
      </c>
      <c r="X75" s="124">
        <f>SUMIF(Table1316[Category],Table1417[[#This Row],[Category]],Table1316[[Quantity ]])</f>
        <v>345</v>
      </c>
      <c r="Y75" s="124">
        <f>Table1417[[#This Row],[Inventory]]-Table1417[[#This Row],[Update ]]</f>
        <v>410</v>
      </c>
    </row>
    <row r="76" spans="1:25" x14ac:dyDescent="0.2">
      <c r="O76" s="9" t="s">
        <v>59</v>
      </c>
      <c r="P76" s="50" t="s">
        <v>276</v>
      </c>
      <c r="Q76" s="49" t="s">
        <v>159</v>
      </c>
      <c r="R76" s="9">
        <v>2</v>
      </c>
      <c r="S76" s="47">
        <f>INDEX('Master (Filled)'!$Z$8:$Z$37,MATCH(Q76,'Master (Filled)'!$Y$8:$Y$37,0))</f>
        <v>70000</v>
      </c>
      <c r="T76" s="119">
        <f t="shared" si="5"/>
        <v>0.02</v>
      </c>
      <c r="U76" s="47">
        <f t="shared" si="6"/>
        <v>138600</v>
      </c>
      <c r="V76" s="50" t="s">
        <v>276</v>
      </c>
      <c r="W76" s="124">
        <f t="shared" si="7"/>
        <v>755</v>
      </c>
      <c r="X76" s="124">
        <f>SUMIF(Table1316[Category],Table1417[[#This Row],[Category]],Table1316[[Quantity ]])</f>
        <v>345</v>
      </c>
      <c r="Y76" s="124">
        <f>Table1417[[#This Row],[Inventory]]-Table1417[[#This Row],[Update ]]</f>
        <v>410</v>
      </c>
    </row>
    <row r="77" spans="1:25" x14ac:dyDescent="0.2">
      <c r="O77" s="9" t="s">
        <v>61</v>
      </c>
      <c r="P77" s="50" t="s">
        <v>282</v>
      </c>
      <c r="Q77" s="49" t="s">
        <v>62</v>
      </c>
      <c r="R77" s="9">
        <v>3</v>
      </c>
      <c r="S77" s="47">
        <f>INDEX('Master (Filled)'!$Z$8:$Z$37,MATCH(Q77,'Master (Filled)'!$Y$8:$Y$37,0))</f>
        <v>75000</v>
      </c>
      <c r="T77" s="119">
        <f t="shared" si="5"/>
        <v>0.02</v>
      </c>
      <c r="U77" s="47">
        <f t="shared" si="6"/>
        <v>223500</v>
      </c>
      <c r="V77" s="50" t="s">
        <v>282</v>
      </c>
      <c r="W77" s="124">
        <f t="shared" si="7"/>
        <v>755</v>
      </c>
      <c r="X77" s="124">
        <f>SUMIF(Table1316[Category],Table1417[[#This Row],[Category]],Table1316[[Quantity ]])</f>
        <v>215</v>
      </c>
      <c r="Y77" s="124">
        <f>Table1417[[#This Row],[Inventory]]-Table1417[[#This Row],[Update ]]</f>
        <v>540</v>
      </c>
    </row>
    <row r="78" spans="1:25" x14ac:dyDescent="0.2">
      <c r="O78" s="9" t="s">
        <v>61</v>
      </c>
      <c r="P78" s="50" t="s">
        <v>282</v>
      </c>
      <c r="Q78" s="49" t="s">
        <v>64</v>
      </c>
      <c r="R78" s="9">
        <v>4</v>
      </c>
      <c r="S78" s="47">
        <f>INDEX('Master (Filled)'!$Z$8:$Z$37,MATCH(Q78,'Master (Filled)'!$Y$8:$Y$37,0))</f>
        <v>85000</v>
      </c>
      <c r="T78" s="119">
        <f t="shared" si="5"/>
        <v>0.02</v>
      </c>
      <c r="U78" s="47">
        <f t="shared" si="6"/>
        <v>338300</v>
      </c>
      <c r="V78" s="50" t="s">
        <v>282</v>
      </c>
      <c r="W78" s="124">
        <f t="shared" si="7"/>
        <v>755</v>
      </c>
      <c r="X78" s="124">
        <f>SUMIF(Table1316[Category],Table1417[[#This Row],[Category]],Table1316[[Quantity ]])</f>
        <v>215</v>
      </c>
      <c r="Y78" s="124">
        <f>Table1417[[#This Row],[Inventory]]-Table1417[[#This Row],[Update ]]</f>
        <v>540</v>
      </c>
    </row>
    <row r="79" spans="1:25" x14ac:dyDescent="0.2">
      <c r="O79" s="9" t="s">
        <v>67</v>
      </c>
      <c r="P79" s="50" t="s">
        <v>282</v>
      </c>
      <c r="Q79" s="49" t="s">
        <v>62</v>
      </c>
      <c r="R79" s="9">
        <v>5</v>
      </c>
      <c r="S79" s="47">
        <f>INDEX('Master (Filled)'!$Z$8:$Z$37,MATCH(Q79,'Master (Filled)'!$Y$8:$Y$37,0))</f>
        <v>75000</v>
      </c>
      <c r="T79" s="119">
        <f t="shared" si="5"/>
        <v>0.02</v>
      </c>
      <c r="U79" s="47">
        <f t="shared" si="6"/>
        <v>373500</v>
      </c>
      <c r="V79" s="50" t="s">
        <v>282</v>
      </c>
      <c r="W79" s="124">
        <f t="shared" si="7"/>
        <v>755</v>
      </c>
      <c r="X79" s="124">
        <f>SUMIF(Table1316[Category],Table1417[[#This Row],[Category]],Table1316[[Quantity ]])</f>
        <v>215</v>
      </c>
      <c r="Y79" s="124">
        <f>Table1417[[#This Row],[Inventory]]-Table1417[[#This Row],[Update ]]</f>
        <v>540</v>
      </c>
    </row>
    <row r="80" spans="1:25" x14ac:dyDescent="0.2">
      <c r="O80" s="9" t="s">
        <v>67</v>
      </c>
      <c r="P80" s="50" t="s">
        <v>282</v>
      </c>
      <c r="Q80" s="49" t="s">
        <v>72</v>
      </c>
      <c r="R80" s="9">
        <v>6</v>
      </c>
      <c r="S80" s="47">
        <f>INDEX('Master (Filled)'!$Z$8:$Z$37,MATCH(Q80,'Master (Filled)'!$Y$8:$Y$37,0))</f>
        <v>110500</v>
      </c>
      <c r="T80" s="119">
        <f t="shared" si="5"/>
        <v>0.02</v>
      </c>
      <c r="U80" s="47">
        <f t="shared" si="6"/>
        <v>660790</v>
      </c>
      <c r="V80" s="50" t="s">
        <v>282</v>
      </c>
      <c r="W80" s="124">
        <f t="shared" si="7"/>
        <v>755</v>
      </c>
      <c r="X80" s="124">
        <f>SUMIF(Table1316[Category],Table1417[[#This Row],[Category]],Table1316[[Quantity ]])</f>
        <v>215</v>
      </c>
      <c r="Y80" s="124">
        <f>Table1417[[#This Row],[Inventory]]-Table1417[[#This Row],[Update ]]</f>
        <v>540</v>
      </c>
    </row>
    <row r="81" spans="15:25" x14ac:dyDescent="0.2">
      <c r="O81" s="9" t="s">
        <v>67</v>
      </c>
      <c r="P81" s="50" t="s">
        <v>282</v>
      </c>
      <c r="Q81" s="49" t="s">
        <v>64</v>
      </c>
      <c r="R81" s="9">
        <v>10</v>
      </c>
      <c r="S81" s="47">
        <f>INDEX('Master (Filled)'!$Z$8:$Z$37,MATCH(Q81,'Master (Filled)'!$Y$8:$Y$37,0))</f>
        <v>85000</v>
      </c>
      <c r="T81" s="119">
        <f t="shared" si="5"/>
        <v>0.03</v>
      </c>
      <c r="U81" s="47">
        <f t="shared" si="6"/>
        <v>847450</v>
      </c>
      <c r="V81" s="50" t="s">
        <v>282</v>
      </c>
      <c r="W81" s="124">
        <f t="shared" si="7"/>
        <v>755</v>
      </c>
      <c r="X81" s="124">
        <f>SUMIF(Table1316[Category],Table1417[[#This Row],[Category]],Table1316[[Quantity ]])</f>
        <v>215</v>
      </c>
      <c r="Y81" s="124">
        <f>Table1417[[#This Row],[Inventory]]-Table1417[[#This Row],[Update ]]</f>
        <v>540</v>
      </c>
    </row>
    <row r="82" spans="15:25" x14ac:dyDescent="0.2">
      <c r="O82" s="9" t="s">
        <v>67</v>
      </c>
      <c r="P82" s="50" t="s">
        <v>282</v>
      </c>
      <c r="Q82" s="49" t="s">
        <v>62</v>
      </c>
      <c r="R82" s="9">
        <v>9</v>
      </c>
      <c r="S82" s="47">
        <f>INDEX('Master (Filled)'!$Z$8:$Z$37,MATCH(Q82,'Master (Filled)'!$Y$8:$Y$37,0))</f>
        <v>75000</v>
      </c>
      <c r="T82" s="119">
        <f t="shared" si="5"/>
        <v>0.03</v>
      </c>
      <c r="U82" s="47">
        <f t="shared" si="6"/>
        <v>672750</v>
      </c>
      <c r="V82" s="50" t="s">
        <v>282</v>
      </c>
      <c r="W82" s="124">
        <f t="shared" si="7"/>
        <v>755</v>
      </c>
      <c r="X82" s="124">
        <f>SUMIF(Table1316[Category],Table1417[[#This Row],[Category]],Table1316[[Quantity ]])</f>
        <v>215</v>
      </c>
      <c r="Y82" s="124">
        <f>Table1417[[#This Row],[Inventory]]-Table1417[[#This Row],[Update ]]</f>
        <v>540</v>
      </c>
    </row>
    <row r="83" spans="15:25" x14ac:dyDescent="0.2">
      <c r="O83" s="9" t="s">
        <v>77</v>
      </c>
      <c r="P83" s="50" t="s">
        <v>282</v>
      </c>
      <c r="Q83" s="49" t="s">
        <v>72</v>
      </c>
      <c r="R83" s="9">
        <v>5</v>
      </c>
      <c r="S83" s="47">
        <f>INDEX('Master (Filled)'!$Z$8:$Z$37,MATCH(Q83,'Master (Filled)'!$Y$8:$Y$37,0))</f>
        <v>110500</v>
      </c>
      <c r="T83" s="119">
        <f t="shared" si="5"/>
        <v>0.02</v>
      </c>
      <c r="U83" s="47">
        <f t="shared" si="6"/>
        <v>550290</v>
      </c>
      <c r="V83" s="50" t="s">
        <v>282</v>
      </c>
      <c r="W83" s="124">
        <f t="shared" si="7"/>
        <v>755</v>
      </c>
      <c r="X83" s="124">
        <f>SUMIF(Table1316[Category],Table1417[[#This Row],[Category]],Table1316[[Quantity ]])</f>
        <v>215</v>
      </c>
      <c r="Y83" s="124">
        <f>Table1417[[#This Row],[Inventory]]-Table1417[[#This Row],[Update ]]</f>
        <v>540</v>
      </c>
    </row>
    <row r="84" spans="15:25" x14ac:dyDescent="0.2">
      <c r="O84" s="9" t="s">
        <v>80</v>
      </c>
      <c r="P84" s="50" t="s">
        <v>282</v>
      </c>
      <c r="Q84" s="49" t="s">
        <v>72</v>
      </c>
      <c r="R84" s="9">
        <v>5</v>
      </c>
      <c r="S84" s="47">
        <f>INDEX('Master (Filled)'!$Z$8:$Z$37,MATCH(Q84,'Master (Filled)'!$Y$8:$Y$37,0))</f>
        <v>110500</v>
      </c>
      <c r="T84" s="119">
        <f t="shared" si="5"/>
        <v>0.02</v>
      </c>
      <c r="U84" s="47">
        <f t="shared" si="6"/>
        <v>550290</v>
      </c>
      <c r="V84" s="50" t="s">
        <v>282</v>
      </c>
      <c r="W84" s="124">
        <f t="shared" si="7"/>
        <v>755</v>
      </c>
      <c r="X84" s="124">
        <f>SUMIF(Table1316[Category],Table1417[[#This Row],[Category]],Table1316[[Quantity ]])</f>
        <v>215</v>
      </c>
      <c r="Y84" s="124">
        <f>Table1417[[#This Row],[Inventory]]-Table1417[[#This Row],[Update ]]</f>
        <v>540</v>
      </c>
    </row>
    <row r="85" spans="15:25" x14ac:dyDescent="0.2">
      <c r="O85" s="9" t="s">
        <v>61</v>
      </c>
      <c r="P85" s="50" t="s">
        <v>282</v>
      </c>
      <c r="Q85" s="49" t="s">
        <v>62</v>
      </c>
      <c r="R85" s="9">
        <v>3</v>
      </c>
      <c r="S85" s="47">
        <f>INDEX('Master (Filled)'!$Z$8:$Z$37,MATCH(Q85,'Master (Filled)'!$Y$8:$Y$37,0))</f>
        <v>75000</v>
      </c>
      <c r="T85" s="119">
        <f t="shared" si="5"/>
        <v>0.02</v>
      </c>
      <c r="U85" s="47">
        <f t="shared" si="6"/>
        <v>223500</v>
      </c>
      <c r="V85" s="50" t="s">
        <v>282</v>
      </c>
      <c r="W85" s="124">
        <f t="shared" si="7"/>
        <v>755</v>
      </c>
      <c r="X85" s="124">
        <f>SUMIF(Table1316[Category],Table1417[[#This Row],[Category]],Table1316[[Quantity ]])</f>
        <v>215</v>
      </c>
      <c r="Y85" s="124">
        <f>Table1417[[#This Row],[Inventory]]-Table1417[[#This Row],[Update ]]</f>
        <v>540</v>
      </c>
    </row>
    <row r="86" spans="15:25" x14ac:dyDescent="0.2">
      <c r="O86" s="9" t="s">
        <v>24</v>
      </c>
      <c r="P86" s="50" t="s">
        <v>280</v>
      </c>
      <c r="Q86" s="50" t="s">
        <v>115</v>
      </c>
      <c r="R86" s="9">
        <v>2</v>
      </c>
      <c r="S86" s="47">
        <f>INDEX('Master (Filled)'!$Z$8:$Z$37,MATCH(Q86,'Master (Filled)'!$Y$8:$Y$37,0))</f>
        <v>89999</v>
      </c>
      <c r="T86" s="119">
        <f t="shared" si="5"/>
        <v>0.02</v>
      </c>
      <c r="U86" s="47">
        <f t="shared" si="6"/>
        <v>178198.02</v>
      </c>
      <c r="V86" s="50" t="s">
        <v>280</v>
      </c>
      <c r="W86" s="124">
        <f t="shared" si="7"/>
        <v>755</v>
      </c>
      <c r="X86" s="124">
        <f>SUMIF(Table1316[Category],Table1417[[#This Row],[Category]],Table1316[[Quantity ]])</f>
        <v>241</v>
      </c>
      <c r="Y86" s="124">
        <f>Table1417[[#This Row],[Inventory]]-Table1417[[#This Row],[Update ]]</f>
        <v>514</v>
      </c>
    </row>
    <row r="87" spans="15:25" x14ac:dyDescent="0.2">
      <c r="O87" s="9" t="s">
        <v>19</v>
      </c>
      <c r="P87" s="50" t="s">
        <v>280</v>
      </c>
      <c r="Q87" s="50" t="s">
        <v>25</v>
      </c>
      <c r="R87" s="9">
        <v>2</v>
      </c>
      <c r="S87" s="47">
        <f>INDEX('Master (Filled)'!$Z$8:$Z$37,MATCH(Q87,'Master (Filled)'!$Y$8:$Y$37,0))</f>
        <v>69999</v>
      </c>
      <c r="T87" s="119">
        <f t="shared" si="5"/>
        <v>0.02</v>
      </c>
      <c r="U87" s="47">
        <f t="shared" si="6"/>
        <v>138598.01999999999</v>
      </c>
      <c r="V87" s="50" t="s">
        <v>280</v>
      </c>
      <c r="W87" s="124">
        <f t="shared" si="7"/>
        <v>755</v>
      </c>
      <c r="X87" s="124">
        <f>SUMIF(Table1316[Category],Table1417[[#This Row],[Category]],Table1316[[Quantity ]])</f>
        <v>241</v>
      </c>
      <c r="Y87" s="124">
        <f>Table1417[[#This Row],[Inventory]]-Table1417[[#This Row],[Update ]]</f>
        <v>514</v>
      </c>
    </row>
    <row r="88" spans="15:25" x14ac:dyDescent="0.2">
      <c r="O88" s="9" t="s">
        <v>31</v>
      </c>
      <c r="P88" s="50" t="s">
        <v>280</v>
      </c>
      <c r="Q88" s="50" t="s">
        <v>25</v>
      </c>
      <c r="R88" s="9">
        <v>2</v>
      </c>
      <c r="S88" s="47">
        <f>INDEX('Master (Filled)'!$Z$8:$Z$37,MATCH(Q88,'Master (Filled)'!$Y$8:$Y$37,0))</f>
        <v>69999</v>
      </c>
      <c r="T88" s="119">
        <f t="shared" si="5"/>
        <v>0.02</v>
      </c>
      <c r="U88" s="47">
        <f t="shared" si="6"/>
        <v>138598.01999999999</v>
      </c>
      <c r="V88" s="50" t="s">
        <v>280</v>
      </c>
      <c r="W88" s="124">
        <f t="shared" si="7"/>
        <v>755</v>
      </c>
      <c r="X88" s="124">
        <f>SUMIF(Table1316[Category],Table1417[[#This Row],[Category]],Table1316[[Quantity ]])</f>
        <v>241</v>
      </c>
      <c r="Y88" s="124">
        <f>Table1417[[#This Row],[Inventory]]-Table1417[[#This Row],[Update ]]</f>
        <v>514</v>
      </c>
    </row>
    <row r="89" spans="15:25" x14ac:dyDescent="0.2">
      <c r="O89" s="9" t="s">
        <v>110</v>
      </c>
      <c r="P89" s="50" t="s">
        <v>280</v>
      </c>
      <c r="Q89" s="50" t="s">
        <v>20</v>
      </c>
      <c r="R89" s="9">
        <v>4</v>
      </c>
      <c r="S89" s="47">
        <f>INDEX('Master (Filled)'!$Z$8:$Z$37,MATCH(Q89,'Master (Filled)'!$Y$8:$Y$37,0))</f>
        <v>49999</v>
      </c>
      <c r="T89" s="119">
        <f t="shared" si="5"/>
        <v>0.02</v>
      </c>
      <c r="U89" s="47">
        <f t="shared" si="6"/>
        <v>198996.02</v>
      </c>
      <c r="V89" s="50" t="s">
        <v>280</v>
      </c>
      <c r="W89" s="124">
        <f>IF(Q90="Food Product",700,IF(Q90="Non Food Product",900,IF(Q90="General Merchandise Product",855,755)))</f>
        <v>755</v>
      </c>
      <c r="X89" s="124">
        <f>SUMIF(Table1316[Category],Table1417[[#This Row],[Category]],Table1316[[Quantity ]])</f>
        <v>241</v>
      </c>
      <c r="Y89" s="124">
        <f>Table1417[[#This Row],[Inventory]]-Table1417[[#This Row],[Update ]]</f>
        <v>514</v>
      </c>
    </row>
    <row r="90" spans="15:25" x14ac:dyDescent="0.2">
      <c r="O90" s="9" t="s">
        <v>36</v>
      </c>
      <c r="P90" s="50" t="s">
        <v>278</v>
      </c>
      <c r="Q90" s="50" t="s">
        <v>41</v>
      </c>
      <c r="R90" s="9">
        <v>5</v>
      </c>
      <c r="S90" s="47">
        <f>INDEX('Master (Filled)'!$Z$8:$Z$37,MATCH(Q90,'Master (Filled)'!$Y$8:$Y$37,0))</f>
        <v>85500</v>
      </c>
      <c r="T90" s="119">
        <f t="shared" si="5"/>
        <v>0.02</v>
      </c>
      <c r="U90" s="47">
        <f t="shared" si="6"/>
        <v>425790</v>
      </c>
      <c r="V90" s="50" t="s">
        <v>278</v>
      </c>
      <c r="W90" s="124">
        <f>IF(Q91="Food Product",700,IF(Q91="Non Food Product",900,IF(Q91="General Merchandise Product",855,755)))</f>
        <v>755</v>
      </c>
      <c r="X90" s="124">
        <f>SUMIF(Table1316[Category],Table1417[[#This Row],[Category]],Table1316[[Quantity ]])</f>
        <v>299</v>
      </c>
      <c r="Y90" s="124">
        <f>Table1417[[#This Row],[Inventory]]-Table1417[[#This Row],[Update ]]</f>
        <v>456</v>
      </c>
    </row>
    <row r="91" spans="15:25" x14ac:dyDescent="0.2">
      <c r="O91" s="9" t="s">
        <v>40</v>
      </c>
      <c r="P91" s="50" t="s">
        <v>278</v>
      </c>
      <c r="Q91" s="50" t="s">
        <v>41</v>
      </c>
      <c r="R91" s="9">
        <v>5</v>
      </c>
      <c r="S91" s="47">
        <f>INDEX('Master (Filled)'!$Z$8:$Z$37,MATCH(Q91,'Master (Filled)'!$Y$8:$Y$37,0))</f>
        <v>85500</v>
      </c>
      <c r="T91" s="119">
        <f t="shared" si="5"/>
        <v>0.02</v>
      </c>
      <c r="U91" s="47">
        <f t="shared" si="6"/>
        <v>425790</v>
      </c>
      <c r="V91" s="50" t="s">
        <v>278</v>
      </c>
      <c r="W91" s="124">
        <f t="shared" ref="W91:W154" si="8">IF(Q91="Food Product",700,IF(Q91="Non Food Product",900,IF(Q91="General Merchandise Product",855,755)))</f>
        <v>755</v>
      </c>
      <c r="X91" s="124">
        <f>SUMIF(Table1316[Category],Table1417[[#This Row],[Category]],Table1316[[Quantity ]])</f>
        <v>299</v>
      </c>
      <c r="Y91" s="124">
        <f>Table1417[[#This Row],[Inventory]]-Table1417[[#This Row],[Update ]]</f>
        <v>456</v>
      </c>
    </row>
    <row r="92" spans="15:25" x14ac:dyDescent="0.2">
      <c r="O92" s="9" t="s">
        <v>67</v>
      </c>
      <c r="P92" s="50" t="s">
        <v>282</v>
      </c>
      <c r="Q92" s="49" t="s">
        <v>62</v>
      </c>
      <c r="R92" s="9">
        <v>7</v>
      </c>
      <c r="S92" s="47">
        <f>INDEX('Master (Filled)'!$Z$8:$Z$37,MATCH(Q92,'Master (Filled)'!$Y$8:$Y$37,0))</f>
        <v>75000</v>
      </c>
      <c r="T92" s="119">
        <f t="shared" si="5"/>
        <v>0.02</v>
      </c>
      <c r="U92" s="47">
        <f t="shared" si="6"/>
        <v>523500</v>
      </c>
      <c r="V92" s="50" t="s">
        <v>282</v>
      </c>
      <c r="W92" s="124">
        <f t="shared" si="8"/>
        <v>755</v>
      </c>
      <c r="X92" s="124">
        <f>SUMIF(Table1316[Category],Table1417[[#This Row],[Category]],Table1316[[Quantity ]])</f>
        <v>215</v>
      </c>
      <c r="Y92" s="124">
        <f>Table1417[[#This Row],[Inventory]]-Table1417[[#This Row],[Update ]]</f>
        <v>540</v>
      </c>
    </row>
    <row r="93" spans="15:25" x14ac:dyDescent="0.2">
      <c r="O93" s="9" t="s">
        <v>31</v>
      </c>
      <c r="P93" s="50" t="s">
        <v>280</v>
      </c>
      <c r="Q93" s="50" t="s">
        <v>25</v>
      </c>
      <c r="R93" s="9">
        <v>7</v>
      </c>
      <c r="S93" s="47">
        <f>INDEX('Master (Filled)'!$Z$8:$Z$37,MATCH(Q93,'Master (Filled)'!$Y$8:$Y$37,0))</f>
        <v>69999</v>
      </c>
      <c r="T93" s="119">
        <f t="shared" si="5"/>
        <v>0.02</v>
      </c>
      <c r="U93" s="47">
        <f t="shared" si="6"/>
        <v>488593.02</v>
      </c>
      <c r="V93" s="50" t="s">
        <v>280</v>
      </c>
      <c r="W93" s="124">
        <f t="shared" si="8"/>
        <v>755</v>
      </c>
      <c r="X93" s="124">
        <f>SUMIF(Table1316[Category],Table1417[[#This Row],[Category]],Table1316[[Quantity ]])</f>
        <v>241</v>
      </c>
      <c r="Y93" s="124">
        <f>Table1417[[#This Row],[Inventory]]-Table1417[[#This Row],[Update ]]</f>
        <v>514</v>
      </c>
    </row>
    <row r="94" spans="15:25" x14ac:dyDescent="0.2">
      <c r="O94" s="9" t="s">
        <v>36</v>
      </c>
      <c r="P94" s="50" t="s">
        <v>278</v>
      </c>
      <c r="Q94" s="50" t="s">
        <v>41</v>
      </c>
      <c r="R94" s="9">
        <v>7</v>
      </c>
      <c r="S94" s="47">
        <f>INDEX('Master (Filled)'!$Z$8:$Z$37,MATCH(Q94,'Master (Filled)'!$Y$8:$Y$37,0))</f>
        <v>85500</v>
      </c>
      <c r="T94" s="119">
        <f t="shared" si="5"/>
        <v>0.02</v>
      </c>
      <c r="U94" s="47">
        <f t="shared" si="6"/>
        <v>596790</v>
      </c>
      <c r="V94" s="50" t="s">
        <v>278</v>
      </c>
      <c r="W94" s="124">
        <f t="shared" si="8"/>
        <v>755</v>
      </c>
      <c r="X94" s="124">
        <f>SUMIF(Table1316[Category],Table1417[[#This Row],[Category]],Table1316[[Quantity ]])</f>
        <v>299</v>
      </c>
      <c r="Y94" s="124">
        <f>Table1417[[#This Row],[Inventory]]-Table1417[[#This Row],[Update ]]</f>
        <v>456</v>
      </c>
    </row>
    <row r="95" spans="15:25" x14ac:dyDescent="0.2">
      <c r="O95" s="9" t="s">
        <v>40</v>
      </c>
      <c r="P95" s="50" t="s">
        <v>278</v>
      </c>
      <c r="Q95" s="50" t="s">
        <v>41</v>
      </c>
      <c r="R95" s="9">
        <v>8</v>
      </c>
      <c r="S95" s="47">
        <f>INDEX('Master (Filled)'!$Z$8:$Z$37,MATCH(Q95,'Master (Filled)'!$Y$8:$Y$37,0))</f>
        <v>85500</v>
      </c>
      <c r="T95" s="119">
        <f t="shared" si="5"/>
        <v>0.02</v>
      </c>
      <c r="U95" s="47">
        <f t="shared" si="6"/>
        <v>682290</v>
      </c>
      <c r="V95" s="50" t="s">
        <v>278</v>
      </c>
      <c r="W95" s="124">
        <f t="shared" si="8"/>
        <v>755</v>
      </c>
      <c r="X95" s="124">
        <f>SUMIF(Table1316[Category],Table1417[[#This Row],[Category]],Table1316[[Quantity ]])</f>
        <v>299</v>
      </c>
      <c r="Y95" s="124">
        <f>Table1417[[#This Row],[Inventory]]-Table1417[[#This Row],[Update ]]</f>
        <v>456</v>
      </c>
    </row>
    <row r="96" spans="15:25" x14ac:dyDescent="0.2">
      <c r="O96" s="9" t="s">
        <v>31</v>
      </c>
      <c r="P96" s="50" t="s">
        <v>280</v>
      </c>
      <c r="Q96" s="50" t="s">
        <v>115</v>
      </c>
      <c r="R96" s="9">
        <v>8</v>
      </c>
      <c r="S96" s="47">
        <f>INDEX('Master (Filled)'!$Z$8:$Z$37,MATCH(Q96,'Master (Filled)'!$Y$8:$Y$37,0))</f>
        <v>89999</v>
      </c>
      <c r="T96" s="119">
        <f t="shared" si="5"/>
        <v>0.02</v>
      </c>
      <c r="U96" s="47">
        <f t="shared" si="6"/>
        <v>718192.02</v>
      </c>
      <c r="V96" s="50" t="s">
        <v>280</v>
      </c>
      <c r="W96" s="124">
        <f t="shared" si="8"/>
        <v>755</v>
      </c>
      <c r="X96" s="124">
        <f>SUMIF(Table1316[Category],Table1417[[#This Row],[Category]],Table1316[[Quantity ]])</f>
        <v>241</v>
      </c>
      <c r="Y96" s="124">
        <f>Table1417[[#This Row],[Inventory]]-Table1417[[#This Row],[Update ]]</f>
        <v>514</v>
      </c>
    </row>
    <row r="97" spans="15:25" x14ac:dyDescent="0.2">
      <c r="O97" s="9" t="s">
        <v>36</v>
      </c>
      <c r="P97" s="50" t="s">
        <v>278</v>
      </c>
      <c r="Q97" s="50" t="s">
        <v>37</v>
      </c>
      <c r="R97" s="9">
        <v>9</v>
      </c>
      <c r="S97" s="47">
        <f>INDEX('Master (Filled)'!$Z$8:$Z$37,MATCH(Q97,'Master (Filled)'!$Y$8:$Y$37,0))</f>
        <v>195000</v>
      </c>
      <c r="T97" s="119">
        <f t="shared" si="5"/>
        <v>0.03</v>
      </c>
      <c r="U97" s="47">
        <f t="shared" si="6"/>
        <v>1749150</v>
      </c>
      <c r="V97" s="50" t="s">
        <v>278</v>
      </c>
      <c r="W97" s="124">
        <f t="shared" si="8"/>
        <v>755</v>
      </c>
      <c r="X97" s="124">
        <f>SUMIF(Table1316[Category],Table1417[[#This Row],[Category]],Table1316[[Quantity ]])</f>
        <v>299</v>
      </c>
      <c r="Y97" s="124">
        <f>Table1417[[#This Row],[Inventory]]-Table1417[[#This Row],[Update ]]</f>
        <v>456</v>
      </c>
    </row>
    <row r="98" spans="15:25" x14ac:dyDescent="0.2">
      <c r="O98" s="9" t="s">
        <v>40</v>
      </c>
      <c r="P98" s="50" t="s">
        <v>278</v>
      </c>
      <c r="Q98" s="50" t="s">
        <v>37</v>
      </c>
      <c r="R98" s="9">
        <v>12</v>
      </c>
      <c r="S98" s="47">
        <f>INDEX('Master (Filled)'!$Z$8:$Z$37,MATCH(Q98,'Master (Filled)'!$Y$8:$Y$37,0))</f>
        <v>195000</v>
      </c>
      <c r="T98" s="119">
        <f t="shared" si="5"/>
        <v>0.03</v>
      </c>
      <c r="U98" s="47">
        <f t="shared" si="6"/>
        <v>2334150</v>
      </c>
      <c r="V98" s="50" t="s">
        <v>278</v>
      </c>
      <c r="W98" s="124">
        <f t="shared" si="8"/>
        <v>755</v>
      </c>
      <c r="X98" s="124">
        <f>SUMIF(Table1316[Category],Table1417[[#This Row],[Category]],Table1316[[Quantity ]])</f>
        <v>299</v>
      </c>
      <c r="Y98" s="124">
        <f>Table1417[[#This Row],[Inventory]]-Table1417[[#This Row],[Update ]]</f>
        <v>456</v>
      </c>
    </row>
    <row r="99" spans="15:25" x14ac:dyDescent="0.2">
      <c r="O99" s="9" t="s">
        <v>31</v>
      </c>
      <c r="P99" s="50" t="s">
        <v>280</v>
      </c>
      <c r="Q99" s="50" t="s">
        <v>115</v>
      </c>
      <c r="R99" s="9">
        <v>11</v>
      </c>
      <c r="S99" s="47">
        <f>INDEX('Master (Filled)'!$Z$8:$Z$37,MATCH(Q99,'Master (Filled)'!$Y$8:$Y$37,0))</f>
        <v>89999</v>
      </c>
      <c r="T99" s="119">
        <f t="shared" si="5"/>
        <v>0.03</v>
      </c>
      <c r="U99" s="47">
        <f t="shared" si="6"/>
        <v>987289.03</v>
      </c>
      <c r="V99" s="50" t="s">
        <v>280</v>
      </c>
      <c r="W99" s="124">
        <f t="shared" si="8"/>
        <v>755</v>
      </c>
      <c r="X99" s="124">
        <f>SUMIF(Table1316[Category],Table1417[[#This Row],[Category]],Table1316[[Quantity ]])</f>
        <v>241</v>
      </c>
      <c r="Y99" s="124">
        <f>Table1417[[#This Row],[Inventory]]-Table1417[[#This Row],[Update ]]</f>
        <v>514</v>
      </c>
    </row>
    <row r="100" spans="15:25" x14ac:dyDescent="0.2">
      <c r="O100" s="9" t="s">
        <v>67</v>
      </c>
      <c r="P100" s="50" t="s">
        <v>282</v>
      </c>
      <c r="Q100" s="49" t="s">
        <v>62</v>
      </c>
      <c r="R100" s="9">
        <v>3</v>
      </c>
      <c r="S100" s="47">
        <f>INDEX('Master (Filled)'!$Z$8:$Z$37,MATCH(Q100,'Master (Filled)'!$Y$8:$Y$37,0))</f>
        <v>75000</v>
      </c>
      <c r="T100" s="119">
        <f t="shared" si="5"/>
        <v>0.02</v>
      </c>
      <c r="U100" s="47">
        <f t="shared" si="6"/>
        <v>223500</v>
      </c>
      <c r="V100" s="50" t="s">
        <v>282</v>
      </c>
      <c r="W100" s="124">
        <f t="shared" si="8"/>
        <v>755</v>
      </c>
      <c r="X100" s="124">
        <f>SUMIF(Table1316[Category],Table1417[[#This Row],[Category]],Table1316[[Quantity ]])</f>
        <v>215</v>
      </c>
      <c r="Y100" s="124">
        <f>Table1417[[#This Row],[Inventory]]-Table1417[[#This Row],[Update ]]</f>
        <v>540</v>
      </c>
    </row>
    <row r="101" spans="15:25" x14ac:dyDescent="0.2">
      <c r="O101" s="9" t="s">
        <v>31</v>
      </c>
      <c r="P101" s="50" t="s">
        <v>280</v>
      </c>
      <c r="Q101" s="50" t="s">
        <v>25</v>
      </c>
      <c r="R101" s="9">
        <v>2</v>
      </c>
      <c r="S101" s="47">
        <f>INDEX('Master (Filled)'!$Z$8:$Z$37,MATCH(Q101,'Master (Filled)'!$Y$8:$Y$37,0))</f>
        <v>69999</v>
      </c>
      <c r="T101" s="119">
        <f t="shared" si="5"/>
        <v>0.02</v>
      </c>
      <c r="U101" s="47">
        <f t="shared" si="6"/>
        <v>138598.01999999999</v>
      </c>
      <c r="V101" s="50" t="s">
        <v>280</v>
      </c>
      <c r="W101" s="124">
        <f t="shared" si="8"/>
        <v>755</v>
      </c>
      <c r="X101" s="124">
        <f>SUMIF(Table1316[Category],Table1417[[#This Row],[Category]],Table1316[[Quantity ]])</f>
        <v>241</v>
      </c>
      <c r="Y101" s="124">
        <f>Table1417[[#This Row],[Inventory]]-Table1417[[#This Row],[Update ]]</f>
        <v>514</v>
      </c>
    </row>
    <row r="102" spans="15:25" x14ac:dyDescent="0.2">
      <c r="O102" s="9" t="s">
        <v>59</v>
      </c>
      <c r="P102" s="50" t="s">
        <v>276</v>
      </c>
      <c r="Q102" s="49" t="s">
        <v>186</v>
      </c>
      <c r="R102" s="9">
        <v>2</v>
      </c>
      <c r="S102" s="47">
        <f>INDEX('Master (Filled)'!$Z$8:$Z$37,MATCH(Q102,'Master (Filled)'!$Y$8:$Y$37,0))</f>
        <v>75000</v>
      </c>
      <c r="T102" s="119">
        <f t="shared" si="5"/>
        <v>0.02</v>
      </c>
      <c r="U102" s="47">
        <f t="shared" si="6"/>
        <v>148500</v>
      </c>
      <c r="V102" s="50" t="s">
        <v>276</v>
      </c>
      <c r="W102" s="124">
        <f t="shared" si="8"/>
        <v>755</v>
      </c>
      <c r="X102" s="124">
        <f>SUMIF(Table1316[Category],Table1417[[#This Row],[Category]],Table1316[[Quantity ]])</f>
        <v>345</v>
      </c>
      <c r="Y102" s="124">
        <f>Table1417[[#This Row],[Inventory]]-Table1417[[#This Row],[Update ]]</f>
        <v>410</v>
      </c>
    </row>
    <row r="103" spans="15:25" x14ac:dyDescent="0.2">
      <c r="O103" s="9" t="s">
        <v>52</v>
      </c>
      <c r="P103" s="50" t="s">
        <v>276</v>
      </c>
      <c r="Q103" s="49" t="s">
        <v>186</v>
      </c>
      <c r="R103" s="9">
        <v>4</v>
      </c>
      <c r="S103" s="47">
        <f>INDEX('Master (Filled)'!$Z$8:$Z$37,MATCH(Q103,'Master (Filled)'!$Y$8:$Y$37,0))</f>
        <v>75000</v>
      </c>
      <c r="T103" s="119">
        <f t="shared" si="5"/>
        <v>0.02</v>
      </c>
      <c r="U103" s="47">
        <f t="shared" si="6"/>
        <v>298500</v>
      </c>
      <c r="V103" s="50" t="s">
        <v>276</v>
      </c>
      <c r="W103" s="124">
        <f t="shared" si="8"/>
        <v>755</v>
      </c>
      <c r="X103" s="124">
        <f>SUMIF(Table1316[Category],Table1417[[#This Row],[Category]],Table1316[[Quantity ]])</f>
        <v>345</v>
      </c>
      <c r="Y103" s="124">
        <f>Table1417[[#This Row],[Inventory]]-Table1417[[#This Row],[Update ]]</f>
        <v>410</v>
      </c>
    </row>
    <row r="104" spans="15:25" x14ac:dyDescent="0.2">
      <c r="O104" s="9" t="s">
        <v>59</v>
      </c>
      <c r="P104" s="50" t="s">
        <v>276</v>
      </c>
      <c r="Q104" s="49" t="s">
        <v>189</v>
      </c>
      <c r="R104" s="9">
        <v>4</v>
      </c>
      <c r="S104" s="47">
        <f>INDEX('Master (Filled)'!$Z$8:$Z$37,MATCH(Q104,'Master (Filled)'!$Y$8:$Y$37,0))</f>
        <v>120000</v>
      </c>
      <c r="T104" s="119">
        <f t="shared" si="5"/>
        <v>0.02</v>
      </c>
      <c r="U104" s="47">
        <f t="shared" si="6"/>
        <v>477600</v>
      </c>
      <c r="V104" s="50" t="s">
        <v>276</v>
      </c>
      <c r="W104" s="124">
        <f t="shared" si="8"/>
        <v>755</v>
      </c>
      <c r="X104" s="124">
        <f>SUMIF(Table1316[Category],Table1417[[#This Row],[Category]],Table1316[[Quantity ]])</f>
        <v>345</v>
      </c>
      <c r="Y104" s="124">
        <f>Table1417[[#This Row],[Inventory]]-Table1417[[#This Row],[Update ]]</f>
        <v>410</v>
      </c>
    </row>
    <row r="105" spans="15:25" x14ac:dyDescent="0.2">
      <c r="O105" s="9" t="s">
        <v>67</v>
      </c>
      <c r="P105" s="50" t="s">
        <v>282</v>
      </c>
      <c r="Q105" s="49" t="s">
        <v>72</v>
      </c>
      <c r="R105" s="9">
        <v>5</v>
      </c>
      <c r="S105" s="47">
        <f>INDEX('Master (Filled)'!$Z$8:$Z$37,MATCH(Q105,'Master (Filled)'!$Y$8:$Y$37,0))</f>
        <v>110500</v>
      </c>
      <c r="T105" s="119">
        <f t="shared" si="5"/>
        <v>0.02</v>
      </c>
      <c r="U105" s="47">
        <f t="shared" si="6"/>
        <v>550290</v>
      </c>
      <c r="V105" s="50" t="s">
        <v>282</v>
      </c>
      <c r="W105" s="124">
        <f t="shared" si="8"/>
        <v>755</v>
      </c>
      <c r="X105" s="124">
        <f>SUMIF(Table1316[Category],Table1417[[#This Row],[Category]],Table1316[[Quantity ]])</f>
        <v>215</v>
      </c>
      <c r="Y105" s="124">
        <f>Table1417[[#This Row],[Inventory]]-Table1417[[#This Row],[Update ]]</f>
        <v>540</v>
      </c>
    </row>
    <row r="106" spans="15:25" x14ac:dyDescent="0.2">
      <c r="O106" s="9" t="s">
        <v>67</v>
      </c>
      <c r="P106" s="50" t="s">
        <v>282</v>
      </c>
      <c r="Q106" s="49" t="s">
        <v>64</v>
      </c>
      <c r="R106" s="9">
        <v>5</v>
      </c>
      <c r="S106" s="47">
        <f>INDEX('Master (Filled)'!$Z$8:$Z$37,MATCH(Q106,'Master (Filled)'!$Y$8:$Y$37,0))</f>
        <v>85000</v>
      </c>
      <c r="T106" s="119">
        <f t="shared" si="5"/>
        <v>0.02</v>
      </c>
      <c r="U106" s="47">
        <f t="shared" si="6"/>
        <v>423300</v>
      </c>
      <c r="V106" s="50" t="s">
        <v>282</v>
      </c>
      <c r="W106" s="124">
        <f t="shared" si="8"/>
        <v>755</v>
      </c>
      <c r="X106" s="124">
        <f>SUMIF(Table1316[Category],Table1417[[#This Row],[Category]],Table1316[[Quantity ]])</f>
        <v>215</v>
      </c>
      <c r="Y106" s="124">
        <f>Table1417[[#This Row],[Inventory]]-Table1417[[#This Row],[Update ]]</f>
        <v>540</v>
      </c>
    </row>
    <row r="107" spans="15:25" x14ac:dyDescent="0.2">
      <c r="O107" s="9" t="s">
        <v>59</v>
      </c>
      <c r="P107" s="50" t="s">
        <v>276</v>
      </c>
      <c r="Q107" s="49" t="s">
        <v>186</v>
      </c>
      <c r="R107" s="9">
        <v>7</v>
      </c>
      <c r="S107" s="47">
        <f>INDEX('Master (Filled)'!$Z$8:$Z$37,MATCH(Q107,'Master (Filled)'!$Y$8:$Y$37,0))</f>
        <v>75000</v>
      </c>
      <c r="T107" s="119">
        <f t="shared" si="5"/>
        <v>0.02</v>
      </c>
      <c r="U107" s="47">
        <f t="shared" si="6"/>
        <v>523500</v>
      </c>
      <c r="V107" s="50" t="s">
        <v>276</v>
      </c>
      <c r="W107" s="124">
        <f t="shared" si="8"/>
        <v>755</v>
      </c>
      <c r="X107" s="124">
        <f>SUMIF(Table1316[Category],Table1417[[#This Row],[Category]],Table1316[[Quantity ]])</f>
        <v>345</v>
      </c>
      <c r="Y107" s="124">
        <f>Table1417[[#This Row],[Inventory]]-Table1417[[#This Row],[Update ]]</f>
        <v>410</v>
      </c>
    </row>
    <row r="108" spans="15:25" x14ac:dyDescent="0.2">
      <c r="O108" s="9" t="s">
        <v>31</v>
      </c>
      <c r="P108" s="50" t="s">
        <v>280</v>
      </c>
      <c r="Q108" s="50" t="s">
        <v>115</v>
      </c>
      <c r="R108" s="9">
        <v>8</v>
      </c>
      <c r="S108" s="47">
        <f>INDEX('Master (Filled)'!$Z$8:$Z$37,MATCH(Q108,'Master (Filled)'!$Y$8:$Y$37,0))</f>
        <v>89999</v>
      </c>
      <c r="T108" s="119">
        <f t="shared" si="5"/>
        <v>0.02</v>
      </c>
      <c r="U108" s="47">
        <f t="shared" si="6"/>
        <v>718192.02</v>
      </c>
      <c r="V108" s="50" t="s">
        <v>280</v>
      </c>
      <c r="W108" s="124">
        <f t="shared" si="8"/>
        <v>755</v>
      </c>
      <c r="X108" s="124">
        <f>SUMIF(Table1316[Category],Table1417[[#This Row],[Category]],Table1316[[Quantity ]])</f>
        <v>241</v>
      </c>
      <c r="Y108" s="124">
        <f>Table1417[[#This Row],[Inventory]]-Table1417[[#This Row],[Update ]]</f>
        <v>514</v>
      </c>
    </row>
    <row r="109" spans="15:25" x14ac:dyDescent="0.2">
      <c r="O109" s="9" t="s">
        <v>67</v>
      </c>
      <c r="P109" s="50" t="s">
        <v>282</v>
      </c>
      <c r="Q109" s="49" t="s">
        <v>72</v>
      </c>
      <c r="R109" s="9">
        <v>8</v>
      </c>
      <c r="S109" s="47">
        <f>INDEX('Master (Filled)'!$Z$8:$Z$37,MATCH(Q109,'Master (Filled)'!$Y$8:$Y$37,0))</f>
        <v>110500</v>
      </c>
      <c r="T109" s="119">
        <f t="shared" si="5"/>
        <v>0.02</v>
      </c>
      <c r="U109" s="47">
        <f t="shared" si="6"/>
        <v>881790</v>
      </c>
      <c r="V109" s="50" t="s">
        <v>282</v>
      </c>
      <c r="W109" s="124">
        <f t="shared" si="8"/>
        <v>755</v>
      </c>
      <c r="X109" s="124">
        <f>SUMIF(Table1316[Category],Table1417[[#This Row],[Category]],Table1316[[Quantity ]])</f>
        <v>215</v>
      </c>
      <c r="Y109" s="124">
        <f>Table1417[[#This Row],[Inventory]]-Table1417[[#This Row],[Update ]]</f>
        <v>540</v>
      </c>
    </row>
    <row r="110" spans="15:25" x14ac:dyDescent="0.2">
      <c r="O110" s="9" t="s">
        <v>31</v>
      </c>
      <c r="P110" s="50" t="s">
        <v>280</v>
      </c>
      <c r="Q110" s="50" t="s">
        <v>115</v>
      </c>
      <c r="R110" s="9">
        <v>7</v>
      </c>
      <c r="S110" s="47">
        <f>INDEX('Master (Filled)'!$Z$8:$Z$37,MATCH(Q110,'Master (Filled)'!$Y$8:$Y$37,0))</f>
        <v>89999</v>
      </c>
      <c r="T110" s="119">
        <f t="shared" si="5"/>
        <v>0.02</v>
      </c>
      <c r="U110" s="47">
        <f t="shared" si="6"/>
        <v>628193.02</v>
      </c>
      <c r="V110" s="50" t="s">
        <v>280</v>
      </c>
      <c r="W110" s="124">
        <f t="shared" si="8"/>
        <v>755</v>
      </c>
      <c r="X110" s="124">
        <f>SUMIF(Table1316[Category],Table1417[[#This Row],[Category]],Table1316[[Quantity ]])</f>
        <v>241</v>
      </c>
      <c r="Y110" s="124">
        <f>Table1417[[#This Row],[Inventory]]-Table1417[[#This Row],[Update ]]</f>
        <v>514</v>
      </c>
    </row>
    <row r="111" spans="15:25" x14ac:dyDescent="0.2">
      <c r="O111" s="9" t="s">
        <v>31</v>
      </c>
      <c r="P111" s="50" t="s">
        <v>280</v>
      </c>
      <c r="Q111" s="50" t="s">
        <v>115</v>
      </c>
      <c r="R111" s="9">
        <v>7</v>
      </c>
      <c r="S111" s="47">
        <f>INDEX('Master (Filled)'!$Z$8:$Z$37,MATCH(Q111,'Master (Filled)'!$Y$8:$Y$37,0))</f>
        <v>89999</v>
      </c>
      <c r="T111" s="119">
        <f t="shared" si="5"/>
        <v>0.02</v>
      </c>
      <c r="U111" s="47">
        <f t="shared" si="6"/>
        <v>628193.02</v>
      </c>
      <c r="V111" s="50" t="s">
        <v>280</v>
      </c>
      <c r="W111" s="124">
        <f t="shared" si="8"/>
        <v>755</v>
      </c>
      <c r="X111" s="124">
        <f>SUMIF(Table1316[Category],Table1417[[#This Row],[Category]],Table1316[[Quantity ]])</f>
        <v>241</v>
      </c>
      <c r="Y111" s="124">
        <f>Table1417[[#This Row],[Inventory]]-Table1417[[#This Row],[Update ]]</f>
        <v>514</v>
      </c>
    </row>
    <row r="112" spans="15:25" x14ac:dyDescent="0.2">
      <c r="O112" s="9" t="s">
        <v>31</v>
      </c>
      <c r="P112" s="50" t="s">
        <v>280</v>
      </c>
      <c r="Q112" s="50" t="s">
        <v>115</v>
      </c>
      <c r="R112" s="9">
        <v>5</v>
      </c>
      <c r="S112" s="47">
        <f>INDEX('Master (Filled)'!$Z$8:$Z$37,MATCH(Q112,'Master (Filled)'!$Y$8:$Y$37,0))</f>
        <v>89999</v>
      </c>
      <c r="T112" s="119">
        <f t="shared" si="5"/>
        <v>0.02</v>
      </c>
      <c r="U112" s="47">
        <f t="shared" si="6"/>
        <v>448195.02</v>
      </c>
      <c r="V112" s="50" t="s">
        <v>280</v>
      </c>
      <c r="W112" s="124">
        <f t="shared" si="8"/>
        <v>755</v>
      </c>
      <c r="X112" s="124">
        <f>SUMIF(Table1316[Category],Table1417[[#This Row],[Category]],Table1316[[Quantity ]])</f>
        <v>241</v>
      </c>
      <c r="Y112" s="124">
        <f>Table1417[[#This Row],[Inventory]]-Table1417[[#This Row],[Update ]]</f>
        <v>514</v>
      </c>
    </row>
    <row r="113" spans="15:25" x14ac:dyDescent="0.2">
      <c r="O113" s="9" t="s">
        <v>59</v>
      </c>
      <c r="P113" s="50" t="s">
        <v>276</v>
      </c>
      <c r="Q113" s="49" t="s">
        <v>186</v>
      </c>
      <c r="R113" s="9">
        <v>4</v>
      </c>
      <c r="S113" s="47">
        <f>INDEX('Master (Filled)'!$Z$8:$Z$37,MATCH(Q113,'Master (Filled)'!$Y$8:$Y$37,0))</f>
        <v>75000</v>
      </c>
      <c r="T113" s="119">
        <f t="shared" si="5"/>
        <v>0.02</v>
      </c>
      <c r="U113" s="47">
        <f t="shared" si="6"/>
        <v>298500</v>
      </c>
      <c r="V113" s="50" t="s">
        <v>276</v>
      </c>
      <c r="W113" s="124">
        <f t="shared" si="8"/>
        <v>755</v>
      </c>
      <c r="X113" s="124">
        <f>SUMIF(Table1316[Category],Table1417[[#This Row],[Category]],Table1316[[Quantity ]])</f>
        <v>345</v>
      </c>
      <c r="Y113" s="124">
        <f>Table1417[[#This Row],[Inventory]]-Table1417[[#This Row],[Update ]]</f>
        <v>410</v>
      </c>
    </row>
    <row r="114" spans="15:25" x14ac:dyDescent="0.2">
      <c r="O114" s="9" t="s">
        <v>59</v>
      </c>
      <c r="P114" s="50" t="s">
        <v>276</v>
      </c>
      <c r="Q114" s="49" t="s">
        <v>92</v>
      </c>
      <c r="R114" s="9">
        <v>6</v>
      </c>
      <c r="S114" s="47">
        <f>INDEX('Master (Filled)'!$Z$8:$Z$37,MATCH(Q114,'Master (Filled)'!$Y$8:$Y$37,0))</f>
        <v>55000</v>
      </c>
      <c r="T114" s="119">
        <f t="shared" si="5"/>
        <v>0.02</v>
      </c>
      <c r="U114" s="47">
        <f t="shared" si="6"/>
        <v>328900</v>
      </c>
      <c r="V114" s="50" t="s">
        <v>276</v>
      </c>
      <c r="W114" s="124">
        <f t="shared" si="8"/>
        <v>755</v>
      </c>
      <c r="X114" s="124">
        <f>SUMIF(Table1316[Category],Table1417[[#This Row],[Category]],Table1316[[Quantity ]])</f>
        <v>345</v>
      </c>
      <c r="Y114" s="124">
        <f>Table1417[[#This Row],[Inventory]]-Table1417[[#This Row],[Update ]]</f>
        <v>410</v>
      </c>
    </row>
    <row r="115" spans="15:25" x14ac:dyDescent="0.2">
      <c r="O115" s="9" t="s">
        <v>59</v>
      </c>
      <c r="P115" s="50" t="s">
        <v>276</v>
      </c>
      <c r="Q115" s="49" t="s">
        <v>92</v>
      </c>
      <c r="R115" s="9">
        <v>8</v>
      </c>
      <c r="S115" s="47">
        <f>INDEX('Master (Filled)'!$Z$8:$Z$37,MATCH(Q115,'Master (Filled)'!$Y$8:$Y$37,0))</f>
        <v>55000</v>
      </c>
      <c r="T115" s="119">
        <f t="shared" si="5"/>
        <v>0.02</v>
      </c>
      <c r="U115" s="47">
        <f t="shared" si="6"/>
        <v>438900</v>
      </c>
      <c r="V115" s="50" t="s">
        <v>276</v>
      </c>
      <c r="W115" s="124">
        <f t="shared" si="8"/>
        <v>755</v>
      </c>
      <c r="X115" s="124">
        <f>SUMIF(Table1316[Category],Table1417[[#This Row],[Category]],Table1316[[Quantity ]])</f>
        <v>345</v>
      </c>
      <c r="Y115" s="124">
        <f>Table1417[[#This Row],[Inventory]]-Table1417[[#This Row],[Update ]]</f>
        <v>410</v>
      </c>
    </row>
    <row r="116" spans="15:25" x14ac:dyDescent="0.2">
      <c r="O116" s="9" t="s">
        <v>36</v>
      </c>
      <c r="P116" s="50" t="s">
        <v>278</v>
      </c>
      <c r="Q116" s="50" t="s">
        <v>137</v>
      </c>
      <c r="R116" s="9">
        <v>8</v>
      </c>
      <c r="S116" s="47">
        <f>INDEX('Master (Filled)'!$Z$8:$Z$37,MATCH(Q116,'Master (Filled)'!$Y$8:$Y$37,0))</f>
        <v>115000</v>
      </c>
      <c r="T116" s="119">
        <f t="shared" si="5"/>
        <v>0.02</v>
      </c>
      <c r="U116" s="47">
        <f t="shared" si="6"/>
        <v>917700</v>
      </c>
      <c r="V116" s="50" t="s">
        <v>278</v>
      </c>
      <c r="W116" s="124">
        <f t="shared" si="8"/>
        <v>755</v>
      </c>
      <c r="X116" s="124">
        <f>SUMIF(Table1316[Category],Table1417[[#This Row],[Category]],Table1316[[Quantity ]])</f>
        <v>299</v>
      </c>
      <c r="Y116" s="124">
        <f>Table1417[[#This Row],[Inventory]]-Table1417[[#This Row],[Update ]]</f>
        <v>456</v>
      </c>
    </row>
    <row r="117" spans="15:25" x14ac:dyDescent="0.2">
      <c r="O117" s="9" t="s">
        <v>40</v>
      </c>
      <c r="P117" s="50" t="s">
        <v>278</v>
      </c>
      <c r="Q117" s="50" t="s">
        <v>137</v>
      </c>
      <c r="R117" s="9">
        <v>9</v>
      </c>
      <c r="S117" s="47">
        <f>INDEX('Master (Filled)'!$Z$8:$Z$37,MATCH(Q117,'Master (Filled)'!$Y$8:$Y$37,0))</f>
        <v>115000</v>
      </c>
      <c r="T117" s="119">
        <f t="shared" si="5"/>
        <v>0.03</v>
      </c>
      <c r="U117" s="47">
        <f t="shared" si="6"/>
        <v>1031550</v>
      </c>
      <c r="V117" s="50" t="s">
        <v>278</v>
      </c>
      <c r="W117" s="124">
        <f t="shared" si="8"/>
        <v>755</v>
      </c>
      <c r="X117" s="124">
        <f>SUMIF(Table1316[Category],Table1417[[#This Row],[Category]],Table1316[[Quantity ]])</f>
        <v>299</v>
      </c>
      <c r="Y117" s="124">
        <f>Table1417[[#This Row],[Inventory]]-Table1417[[#This Row],[Update ]]</f>
        <v>456</v>
      </c>
    </row>
    <row r="118" spans="15:25" x14ac:dyDescent="0.2">
      <c r="O118" s="9" t="s">
        <v>67</v>
      </c>
      <c r="P118" s="50" t="s">
        <v>282</v>
      </c>
      <c r="Q118" s="49" t="s">
        <v>72</v>
      </c>
      <c r="R118" s="9">
        <v>11</v>
      </c>
      <c r="S118" s="47">
        <f>INDEX('Master (Filled)'!$Z$8:$Z$37,MATCH(Q118,'Master (Filled)'!$Y$8:$Y$37,0))</f>
        <v>110500</v>
      </c>
      <c r="T118" s="119">
        <f t="shared" si="5"/>
        <v>0.03</v>
      </c>
      <c r="U118" s="47">
        <f t="shared" si="6"/>
        <v>1212185</v>
      </c>
      <c r="V118" s="50" t="s">
        <v>282</v>
      </c>
      <c r="W118" s="124">
        <f t="shared" si="8"/>
        <v>755</v>
      </c>
      <c r="X118" s="124">
        <f>SUMIF(Table1316[Category],Table1417[[#This Row],[Category]],Table1316[[Quantity ]])</f>
        <v>215</v>
      </c>
      <c r="Y118" s="124">
        <f>Table1417[[#This Row],[Inventory]]-Table1417[[#This Row],[Update ]]</f>
        <v>540</v>
      </c>
    </row>
    <row r="119" spans="15:25" x14ac:dyDescent="0.2">
      <c r="O119" s="9" t="s">
        <v>36</v>
      </c>
      <c r="P119" s="50" t="s">
        <v>278</v>
      </c>
      <c r="Q119" s="50" t="s">
        <v>106</v>
      </c>
      <c r="R119" s="9">
        <v>10</v>
      </c>
      <c r="S119" s="47">
        <f>INDEX('Master (Filled)'!$Z$8:$Z$37,MATCH(Q119,'Master (Filled)'!$Y$8:$Y$37,0))</f>
        <v>45500</v>
      </c>
      <c r="T119" s="119">
        <f t="shared" si="5"/>
        <v>0.03</v>
      </c>
      <c r="U119" s="47">
        <f t="shared" si="6"/>
        <v>453635</v>
      </c>
      <c r="V119" s="50" t="s">
        <v>278</v>
      </c>
      <c r="W119" s="124">
        <f t="shared" si="8"/>
        <v>755</v>
      </c>
      <c r="X119" s="124">
        <f>SUMIF(Table1316[Category],Table1417[[#This Row],[Category]],Table1316[[Quantity ]])</f>
        <v>299</v>
      </c>
      <c r="Y119" s="124">
        <f>Table1417[[#This Row],[Inventory]]-Table1417[[#This Row],[Update ]]</f>
        <v>456</v>
      </c>
    </row>
    <row r="120" spans="15:25" x14ac:dyDescent="0.2">
      <c r="O120" s="9" t="s">
        <v>52</v>
      </c>
      <c r="P120" s="50" t="s">
        <v>276</v>
      </c>
      <c r="Q120" s="49" t="s">
        <v>189</v>
      </c>
      <c r="R120" s="9">
        <v>9</v>
      </c>
      <c r="S120" s="47">
        <f>INDEX('Master (Filled)'!$Z$8:$Z$37,MATCH(Q120,'Master (Filled)'!$Y$8:$Y$37,0))</f>
        <v>120000</v>
      </c>
      <c r="T120" s="119">
        <f t="shared" si="5"/>
        <v>0.03</v>
      </c>
      <c r="U120" s="47">
        <f t="shared" si="6"/>
        <v>1076400</v>
      </c>
      <c r="V120" s="50" t="s">
        <v>276</v>
      </c>
      <c r="W120" s="124">
        <f t="shared" si="8"/>
        <v>755</v>
      </c>
      <c r="X120" s="124">
        <f>SUMIF(Table1316[Category],Table1417[[#This Row],[Category]],Table1316[[Quantity ]])</f>
        <v>345</v>
      </c>
      <c r="Y120" s="124">
        <f>Table1417[[#This Row],[Inventory]]-Table1417[[#This Row],[Update ]]</f>
        <v>410</v>
      </c>
    </row>
    <row r="121" spans="15:25" x14ac:dyDescent="0.2">
      <c r="O121" s="9" t="s">
        <v>56</v>
      </c>
      <c r="P121" s="50" t="s">
        <v>276</v>
      </c>
      <c r="Q121" s="49" t="s">
        <v>186</v>
      </c>
      <c r="R121" s="9">
        <v>5</v>
      </c>
      <c r="S121" s="47">
        <f>INDEX('Master (Filled)'!$Z$8:$Z$37,MATCH(Q121,'Master (Filled)'!$Y$8:$Y$37,0))</f>
        <v>75000</v>
      </c>
      <c r="T121" s="119">
        <f t="shared" si="5"/>
        <v>0.02</v>
      </c>
      <c r="U121" s="47">
        <f t="shared" si="6"/>
        <v>373500</v>
      </c>
      <c r="V121" s="50" t="s">
        <v>276</v>
      </c>
      <c r="W121" s="124">
        <f t="shared" si="8"/>
        <v>755</v>
      </c>
      <c r="X121" s="124">
        <f>SUMIF(Table1316[Category],Table1417[[#This Row],[Category]],Table1316[[Quantity ]])</f>
        <v>345</v>
      </c>
      <c r="Y121" s="124">
        <f>Table1417[[#This Row],[Inventory]]-Table1417[[#This Row],[Update ]]</f>
        <v>410</v>
      </c>
    </row>
    <row r="122" spans="15:25" x14ac:dyDescent="0.2">
      <c r="O122" s="9" t="s">
        <v>59</v>
      </c>
      <c r="P122" s="50" t="s">
        <v>276</v>
      </c>
      <c r="Q122" s="49" t="s">
        <v>92</v>
      </c>
      <c r="R122" s="9">
        <v>5</v>
      </c>
      <c r="S122" s="47">
        <f>INDEX('Master (Filled)'!$Z$8:$Z$37,MATCH(Q122,'Master (Filled)'!$Y$8:$Y$37,0))</f>
        <v>55000</v>
      </c>
      <c r="T122" s="119">
        <f t="shared" si="5"/>
        <v>0.02</v>
      </c>
      <c r="U122" s="47">
        <f t="shared" si="6"/>
        <v>273900</v>
      </c>
      <c r="V122" s="50" t="s">
        <v>276</v>
      </c>
      <c r="W122" s="124">
        <f t="shared" si="8"/>
        <v>755</v>
      </c>
      <c r="X122" s="124">
        <f>SUMIF(Table1316[Category],Table1417[[#This Row],[Category]],Table1316[[Quantity ]])</f>
        <v>345</v>
      </c>
      <c r="Y122" s="124">
        <f>Table1417[[#This Row],[Inventory]]-Table1417[[#This Row],[Update ]]</f>
        <v>410</v>
      </c>
    </row>
    <row r="123" spans="15:25" x14ac:dyDescent="0.2">
      <c r="O123" s="9" t="s">
        <v>61</v>
      </c>
      <c r="P123" s="50" t="s">
        <v>282</v>
      </c>
      <c r="Q123" s="49" t="s">
        <v>72</v>
      </c>
      <c r="R123" s="9">
        <v>3</v>
      </c>
      <c r="S123" s="47">
        <f>INDEX('Master (Filled)'!$Z$8:$Z$37,MATCH(Q123,'Master (Filled)'!$Y$8:$Y$37,0))</f>
        <v>110500</v>
      </c>
      <c r="T123" s="119">
        <f t="shared" si="5"/>
        <v>0.02</v>
      </c>
      <c r="U123" s="47">
        <f t="shared" si="6"/>
        <v>329290</v>
      </c>
      <c r="V123" s="50" t="s">
        <v>282</v>
      </c>
      <c r="W123" s="124">
        <f t="shared" si="8"/>
        <v>755</v>
      </c>
      <c r="X123" s="124">
        <f>SUMIF(Table1316[Category],Table1417[[#This Row],[Category]],Table1316[[Quantity ]])</f>
        <v>215</v>
      </c>
      <c r="Y123" s="124">
        <f>Table1417[[#This Row],[Inventory]]-Table1417[[#This Row],[Update ]]</f>
        <v>540</v>
      </c>
    </row>
    <row r="124" spans="15:25" x14ac:dyDescent="0.2">
      <c r="O124" s="9" t="s">
        <v>110</v>
      </c>
      <c r="P124" s="50" t="s">
        <v>280</v>
      </c>
      <c r="Q124" s="50" t="s">
        <v>25</v>
      </c>
      <c r="R124" s="9">
        <v>2</v>
      </c>
      <c r="S124" s="47">
        <f>INDEX('Master (Filled)'!$Z$8:$Z$37,MATCH(Q124,'Master (Filled)'!$Y$8:$Y$37,0))</f>
        <v>69999</v>
      </c>
      <c r="T124" s="119">
        <f t="shared" si="5"/>
        <v>0.02</v>
      </c>
      <c r="U124" s="47">
        <f t="shared" si="6"/>
        <v>138598.01999999999</v>
      </c>
      <c r="V124" s="50" t="s">
        <v>280</v>
      </c>
      <c r="W124" s="124">
        <f t="shared" si="8"/>
        <v>755</v>
      </c>
      <c r="X124" s="124">
        <f>SUMIF(Table1316[Category],Table1417[[#This Row],[Category]],Table1316[[Quantity ]])</f>
        <v>241</v>
      </c>
      <c r="Y124" s="124">
        <f>Table1417[[#This Row],[Inventory]]-Table1417[[#This Row],[Update ]]</f>
        <v>514</v>
      </c>
    </row>
    <row r="125" spans="15:25" x14ac:dyDescent="0.2">
      <c r="O125" s="9" t="s">
        <v>19</v>
      </c>
      <c r="P125" s="50" t="s">
        <v>280</v>
      </c>
      <c r="Q125" s="50" t="s">
        <v>32</v>
      </c>
      <c r="R125" s="9">
        <v>2</v>
      </c>
      <c r="S125" s="47">
        <f>INDEX('Master (Filled)'!$Z$8:$Z$37,MATCH(Q125,'Master (Filled)'!$Y$8:$Y$37,0))</f>
        <v>25500</v>
      </c>
      <c r="T125" s="119">
        <f t="shared" si="5"/>
        <v>0.02</v>
      </c>
      <c r="U125" s="47">
        <f t="shared" si="6"/>
        <v>50490</v>
      </c>
      <c r="V125" s="50" t="s">
        <v>280</v>
      </c>
      <c r="W125" s="124">
        <f t="shared" si="8"/>
        <v>755</v>
      </c>
      <c r="X125" s="124">
        <f>SUMIF(Table1316[Category],Table1417[[#This Row],[Category]],Table1316[[Quantity ]])</f>
        <v>241</v>
      </c>
      <c r="Y125" s="124">
        <f>Table1417[[#This Row],[Inventory]]-Table1417[[#This Row],[Update ]]</f>
        <v>514</v>
      </c>
    </row>
    <row r="126" spans="15:25" x14ac:dyDescent="0.2">
      <c r="O126" s="9" t="s">
        <v>24</v>
      </c>
      <c r="P126" s="50" t="s">
        <v>280</v>
      </c>
      <c r="Q126" s="50" t="s">
        <v>32</v>
      </c>
      <c r="R126" s="9">
        <v>2</v>
      </c>
      <c r="S126" s="47">
        <f>INDEX('Master (Filled)'!$Z$8:$Z$37,MATCH(Q126,'Master (Filled)'!$Y$8:$Y$37,0))</f>
        <v>25500</v>
      </c>
      <c r="T126" s="119">
        <f t="shared" si="5"/>
        <v>0.02</v>
      </c>
      <c r="U126" s="47">
        <f t="shared" si="6"/>
        <v>50490</v>
      </c>
      <c r="V126" s="50" t="s">
        <v>280</v>
      </c>
      <c r="W126" s="124">
        <f t="shared" si="8"/>
        <v>755</v>
      </c>
      <c r="X126" s="124">
        <f>SUMIF(Table1316[Category],Table1417[[#This Row],[Category]],Table1316[[Quantity ]])</f>
        <v>241</v>
      </c>
      <c r="Y126" s="124">
        <f>Table1417[[#This Row],[Inventory]]-Table1417[[#This Row],[Update ]]</f>
        <v>514</v>
      </c>
    </row>
    <row r="127" spans="15:25" x14ac:dyDescent="0.2">
      <c r="O127" s="9" t="s">
        <v>24</v>
      </c>
      <c r="P127" s="50" t="s">
        <v>280</v>
      </c>
      <c r="Q127" s="50" t="s">
        <v>32</v>
      </c>
      <c r="R127" s="9">
        <v>4</v>
      </c>
      <c r="S127" s="47">
        <f>INDEX('Master (Filled)'!$Z$8:$Z$37,MATCH(Q127,'Master (Filled)'!$Y$8:$Y$37,0))</f>
        <v>25500</v>
      </c>
      <c r="T127" s="119">
        <f t="shared" si="5"/>
        <v>0.02</v>
      </c>
      <c r="U127" s="47">
        <f t="shared" si="6"/>
        <v>101490</v>
      </c>
      <c r="V127" s="50" t="s">
        <v>280</v>
      </c>
      <c r="W127" s="124">
        <f t="shared" si="8"/>
        <v>755</v>
      </c>
      <c r="X127" s="124">
        <f>SUMIF(Table1316[Category],Table1417[[#This Row],[Category]],Table1316[[Quantity ]])</f>
        <v>241</v>
      </c>
      <c r="Y127" s="124">
        <f>Table1417[[#This Row],[Inventory]]-Table1417[[#This Row],[Update ]]</f>
        <v>514</v>
      </c>
    </row>
    <row r="128" spans="15:25" x14ac:dyDescent="0.2">
      <c r="O128" s="9" t="s">
        <v>24</v>
      </c>
      <c r="P128" s="50" t="s">
        <v>280</v>
      </c>
      <c r="Q128" s="50" t="s">
        <v>25</v>
      </c>
      <c r="R128" s="9">
        <v>5</v>
      </c>
      <c r="S128" s="47">
        <f>INDEX('Master (Filled)'!$Z$8:$Z$37,MATCH(Q128,'Master (Filled)'!$Y$8:$Y$37,0))</f>
        <v>69999</v>
      </c>
      <c r="T128" s="119">
        <f t="shared" si="5"/>
        <v>0.02</v>
      </c>
      <c r="U128" s="47">
        <f t="shared" si="6"/>
        <v>348595.02</v>
      </c>
      <c r="V128" s="50" t="s">
        <v>280</v>
      </c>
      <c r="W128" s="124">
        <f t="shared" si="8"/>
        <v>755</v>
      </c>
      <c r="X128" s="124">
        <f>SUMIF(Table1316[Category],Table1417[[#This Row],[Category]],Table1316[[Quantity ]])</f>
        <v>241</v>
      </c>
      <c r="Y128" s="124">
        <f>Table1417[[#This Row],[Inventory]]-Table1417[[#This Row],[Update ]]</f>
        <v>514</v>
      </c>
    </row>
    <row r="129" spans="15:25" x14ac:dyDescent="0.2">
      <c r="O129" s="9" t="s">
        <v>110</v>
      </c>
      <c r="P129" s="50" t="s">
        <v>280</v>
      </c>
      <c r="Q129" s="50" t="s">
        <v>25</v>
      </c>
      <c r="R129" s="9">
        <v>5</v>
      </c>
      <c r="S129" s="47">
        <f>INDEX('Master (Filled)'!$Z$8:$Z$37,MATCH(Q129,'Master (Filled)'!$Y$8:$Y$37,0))</f>
        <v>69999</v>
      </c>
      <c r="T129" s="119">
        <f t="shared" si="5"/>
        <v>0.02</v>
      </c>
      <c r="U129" s="47">
        <f t="shared" si="6"/>
        <v>348595.02</v>
      </c>
      <c r="V129" s="50" t="s">
        <v>280</v>
      </c>
      <c r="W129" s="124">
        <f t="shared" si="8"/>
        <v>755</v>
      </c>
      <c r="X129" s="124">
        <f>SUMIF(Table1316[Category],Table1417[[#This Row],[Category]],Table1316[[Quantity ]])</f>
        <v>241</v>
      </c>
      <c r="Y129" s="124">
        <f>Table1417[[#This Row],[Inventory]]-Table1417[[#This Row],[Update ]]</f>
        <v>514</v>
      </c>
    </row>
    <row r="130" spans="15:25" x14ac:dyDescent="0.2">
      <c r="O130" s="9" t="s">
        <v>110</v>
      </c>
      <c r="P130" s="50" t="s">
        <v>280</v>
      </c>
      <c r="Q130" s="50" t="s">
        <v>20</v>
      </c>
      <c r="R130" s="9">
        <v>7</v>
      </c>
      <c r="S130" s="47">
        <f>INDEX('Master (Filled)'!$Z$8:$Z$37,MATCH(Q130,'Master (Filled)'!$Y$8:$Y$37,0))</f>
        <v>49999</v>
      </c>
      <c r="T130" s="119">
        <f t="shared" si="5"/>
        <v>0.02</v>
      </c>
      <c r="U130" s="47">
        <f t="shared" si="6"/>
        <v>348993.02</v>
      </c>
      <c r="V130" s="50" t="s">
        <v>280</v>
      </c>
      <c r="W130" s="124">
        <f t="shared" si="8"/>
        <v>755</v>
      </c>
      <c r="X130" s="124">
        <f>SUMIF(Table1316[Category],Table1417[[#This Row],[Category]],Table1316[[Quantity ]])</f>
        <v>241</v>
      </c>
      <c r="Y130" s="124">
        <f>Table1417[[#This Row],[Inventory]]-Table1417[[#This Row],[Update ]]</f>
        <v>514</v>
      </c>
    </row>
    <row r="131" spans="15:25" x14ac:dyDescent="0.2">
      <c r="O131" s="9" t="s">
        <v>19</v>
      </c>
      <c r="P131" s="50" t="s">
        <v>280</v>
      </c>
      <c r="Q131" s="50" t="s">
        <v>20</v>
      </c>
      <c r="R131" s="9">
        <v>7</v>
      </c>
      <c r="S131" s="47">
        <f>INDEX('Master (Filled)'!$Z$8:$Z$37,MATCH(Q131,'Master (Filled)'!$Y$8:$Y$37,0))</f>
        <v>49999</v>
      </c>
      <c r="T131" s="119">
        <f t="shared" si="5"/>
        <v>0.02</v>
      </c>
      <c r="U131" s="47">
        <f t="shared" si="6"/>
        <v>348993.02</v>
      </c>
      <c r="V131" s="50" t="s">
        <v>280</v>
      </c>
      <c r="W131" s="124">
        <f t="shared" si="8"/>
        <v>755</v>
      </c>
      <c r="X131" s="124">
        <f>SUMIF(Table1316[Category],Table1417[[#This Row],[Category]],Table1316[[Quantity ]])</f>
        <v>241</v>
      </c>
      <c r="Y131" s="124">
        <f>Table1417[[#This Row],[Inventory]]-Table1417[[#This Row],[Update ]]</f>
        <v>514</v>
      </c>
    </row>
    <row r="132" spans="15:25" x14ac:dyDescent="0.2">
      <c r="O132" s="9" t="s">
        <v>19</v>
      </c>
      <c r="P132" s="50" t="s">
        <v>280</v>
      </c>
      <c r="Q132" s="50" t="s">
        <v>20</v>
      </c>
      <c r="R132" s="9">
        <v>7</v>
      </c>
      <c r="S132" s="47">
        <f>INDEX('Master (Filled)'!$Z$8:$Z$37,MATCH(Q132,'Master (Filled)'!$Y$8:$Y$37,0))</f>
        <v>49999</v>
      </c>
      <c r="T132" s="119">
        <f t="shared" si="5"/>
        <v>0.02</v>
      </c>
      <c r="U132" s="47">
        <f t="shared" si="6"/>
        <v>348993.02</v>
      </c>
      <c r="V132" s="50" t="s">
        <v>280</v>
      </c>
      <c r="W132" s="124">
        <f t="shared" si="8"/>
        <v>755</v>
      </c>
      <c r="X132" s="124">
        <f>SUMIF(Table1316[Category],Table1417[[#This Row],[Category]],Table1316[[Quantity ]])</f>
        <v>241</v>
      </c>
      <c r="Y132" s="124">
        <f>Table1417[[#This Row],[Inventory]]-Table1417[[#This Row],[Update ]]</f>
        <v>514</v>
      </c>
    </row>
    <row r="133" spans="15:25" x14ac:dyDescent="0.2">
      <c r="O133" s="9" t="s">
        <v>80</v>
      </c>
      <c r="P133" s="50" t="s">
        <v>282</v>
      </c>
      <c r="Q133" s="49" t="s">
        <v>72</v>
      </c>
      <c r="R133" s="9">
        <v>8</v>
      </c>
      <c r="S133" s="47">
        <f>INDEX('Master (Filled)'!$Z$8:$Z$37,MATCH(Q133,'Master (Filled)'!$Y$8:$Y$37,0))</f>
        <v>110500</v>
      </c>
      <c r="T133" s="119">
        <f t="shared" ref="T133:T184" si="9">IF(R133&gt;8,3%,2%)</f>
        <v>0.02</v>
      </c>
      <c r="U133" s="47">
        <f t="shared" ref="U133:U184" si="10">(R133*S133)-(S133*T133)</f>
        <v>881790</v>
      </c>
      <c r="V133" s="50" t="s">
        <v>282</v>
      </c>
      <c r="W133" s="124">
        <f t="shared" si="8"/>
        <v>755</v>
      </c>
      <c r="X133" s="124">
        <f>SUMIF(Table1316[Category],Table1417[[#This Row],[Category]],Table1316[[Quantity ]])</f>
        <v>215</v>
      </c>
      <c r="Y133" s="124">
        <f>Table1417[[#This Row],[Inventory]]-Table1417[[#This Row],[Update ]]</f>
        <v>540</v>
      </c>
    </row>
    <row r="134" spans="15:25" x14ac:dyDescent="0.2">
      <c r="O134" s="9" t="s">
        <v>61</v>
      </c>
      <c r="P134" s="50" t="s">
        <v>282</v>
      </c>
      <c r="Q134" s="49" t="s">
        <v>64</v>
      </c>
      <c r="R134" s="9">
        <v>8</v>
      </c>
      <c r="S134" s="47">
        <f>INDEX('Master (Filled)'!$Z$8:$Z$37,MATCH(Q134,'Master (Filled)'!$Y$8:$Y$37,0))</f>
        <v>85000</v>
      </c>
      <c r="T134" s="119">
        <f t="shared" si="9"/>
        <v>0.02</v>
      </c>
      <c r="U134" s="47">
        <f t="shared" si="10"/>
        <v>678300</v>
      </c>
      <c r="V134" s="50" t="s">
        <v>282</v>
      </c>
      <c r="W134" s="124">
        <f t="shared" si="8"/>
        <v>755</v>
      </c>
      <c r="X134" s="124">
        <f>SUMIF(Table1316[Category],Table1417[[#This Row],[Category]],Table1316[[Quantity ]])</f>
        <v>215</v>
      </c>
      <c r="Y134" s="124">
        <f>Table1417[[#This Row],[Inventory]]-Table1417[[#This Row],[Update ]]</f>
        <v>540</v>
      </c>
    </row>
    <row r="135" spans="15:25" x14ac:dyDescent="0.2">
      <c r="O135" s="9" t="s">
        <v>59</v>
      </c>
      <c r="P135" s="50" t="s">
        <v>276</v>
      </c>
      <c r="Q135" s="49" t="s">
        <v>186</v>
      </c>
      <c r="R135" s="9">
        <v>9</v>
      </c>
      <c r="S135" s="47">
        <f>INDEX('Master (Filled)'!$Z$8:$Z$37,MATCH(Q135,'Master (Filled)'!$Y$8:$Y$37,0))</f>
        <v>75000</v>
      </c>
      <c r="T135" s="119">
        <f t="shared" si="9"/>
        <v>0.03</v>
      </c>
      <c r="U135" s="47">
        <f t="shared" si="10"/>
        <v>672750</v>
      </c>
      <c r="V135" s="50" t="s">
        <v>276</v>
      </c>
      <c r="W135" s="124">
        <f t="shared" si="8"/>
        <v>755</v>
      </c>
      <c r="X135" s="124">
        <f>SUMIF(Table1316[Category],Table1417[[#This Row],[Category]],Table1316[[Quantity ]])</f>
        <v>345</v>
      </c>
      <c r="Y135" s="124">
        <f>Table1417[[#This Row],[Inventory]]-Table1417[[#This Row],[Update ]]</f>
        <v>410</v>
      </c>
    </row>
    <row r="136" spans="15:25" x14ac:dyDescent="0.2">
      <c r="O136" s="9" t="s">
        <v>88</v>
      </c>
      <c r="P136" s="50" t="s">
        <v>276</v>
      </c>
      <c r="Q136" s="49" t="s">
        <v>189</v>
      </c>
      <c r="R136" s="9">
        <v>12</v>
      </c>
      <c r="S136" s="47">
        <f>INDEX('Master (Filled)'!$Z$8:$Z$37,MATCH(Q136,'Master (Filled)'!$Y$8:$Y$37,0))</f>
        <v>120000</v>
      </c>
      <c r="T136" s="119">
        <f t="shared" si="9"/>
        <v>0.03</v>
      </c>
      <c r="U136" s="47">
        <f t="shared" si="10"/>
        <v>1436400</v>
      </c>
      <c r="V136" s="50" t="s">
        <v>276</v>
      </c>
      <c r="W136" s="124">
        <f t="shared" si="8"/>
        <v>755</v>
      </c>
      <c r="X136" s="124">
        <f>SUMIF(Table1316[Category],Table1417[[#This Row],[Category]],Table1316[[Quantity ]])</f>
        <v>345</v>
      </c>
      <c r="Y136" s="124">
        <f>Table1417[[#This Row],[Inventory]]-Table1417[[#This Row],[Update ]]</f>
        <v>410</v>
      </c>
    </row>
    <row r="137" spans="15:25" x14ac:dyDescent="0.2">
      <c r="O137" s="9" t="s">
        <v>56</v>
      </c>
      <c r="P137" s="50" t="s">
        <v>276</v>
      </c>
      <c r="Q137" s="49" t="s">
        <v>92</v>
      </c>
      <c r="R137" s="9">
        <v>11</v>
      </c>
      <c r="S137" s="47">
        <f>INDEX('Master (Filled)'!$Z$8:$Z$37,MATCH(Q137,'Master (Filled)'!$Y$8:$Y$37,0))</f>
        <v>55000</v>
      </c>
      <c r="T137" s="119">
        <f t="shared" si="9"/>
        <v>0.03</v>
      </c>
      <c r="U137" s="47">
        <f t="shared" si="10"/>
        <v>603350</v>
      </c>
      <c r="V137" s="50" t="s">
        <v>276</v>
      </c>
      <c r="W137" s="124">
        <f t="shared" si="8"/>
        <v>755</v>
      </c>
      <c r="X137" s="124">
        <f>SUMIF(Table1316[Category],Table1417[[#This Row],[Category]],Table1316[[Quantity ]])</f>
        <v>345</v>
      </c>
      <c r="Y137" s="124">
        <f>Table1417[[#This Row],[Inventory]]-Table1417[[#This Row],[Update ]]</f>
        <v>410</v>
      </c>
    </row>
    <row r="138" spans="15:25" x14ac:dyDescent="0.2">
      <c r="O138" s="9" t="s">
        <v>56</v>
      </c>
      <c r="P138" s="50" t="s">
        <v>276</v>
      </c>
      <c r="Q138" s="49" t="s">
        <v>92</v>
      </c>
      <c r="R138" s="9">
        <v>11</v>
      </c>
      <c r="S138" s="47">
        <f>INDEX('Master (Filled)'!$Z$8:$Z$37,MATCH(Q138,'Master (Filled)'!$Y$8:$Y$37,0))</f>
        <v>55000</v>
      </c>
      <c r="T138" s="119">
        <f t="shared" si="9"/>
        <v>0.03</v>
      </c>
      <c r="U138" s="47">
        <f t="shared" si="10"/>
        <v>603350</v>
      </c>
      <c r="V138" s="50" t="s">
        <v>276</v>
      </c>
      <c r="W138" s="124">
        <f t="shared" si="8"/>
        <v>755</v>
      </c>
      <c r="X138" s="124">
        <f>SUMIF(Table1316[Category],Table1417[[#This Row],[Category]],Table1316[[Quantity ]])</f>
        <v>345</v>
      </c>
      <c r="Y138" s="124">
        <f>Table1417[[#This Row],[Inventory]]-Table1417[[#This Row],[Update ]]</f>
        <v>410</v>
      </c>
    </row>
    <row r="139" spans="15:25" x14ac:dyDescent="0.2">
      <c r="O139" s="9" t="s">
        <v>56</v>
      </c>
      <c r="P139" s="50" t="s">
        <v>276</v>
      </c>
      <c r="Q139" s="49" t="s">
        <v>92</v>
      </c>
      <c r="R139" s="9">
        <v>15</v>
      </c>
      <c r="S139" s="47">
        <f>INDEX('Master (Filled)'!$Z$8:$Z$37,MATCH(Q139,'Master (Filled)'!$Y$8:$Y$37,0))</f>
        <v>55000</v>
      </c>
      <c r="T139" s="119">
        <f t="shared" si="9"/>
        <v>0.03</v>
      </c>
      <c r="U139" s="47">
        <f t="shared" si="10"/>
        <v>823350</v>
      </c>
      <c r="V139" s="50" t="s">
        <v>276</v>
      </c>
      <c r="W139" s="124">
        <f t="shared" si="8"/>
        <v>755</v>
      </c>
      <c r="X139" s="124">
        <f>SUMIF(Table1316[Category],Table1417[[#This Row],[Category]],Table1316[[Quantity ]])</f>
        <v>345</v>
      </c>
      <c r="Y139" s="124">
        <f>Table1417[[#This Row],[Inventory]]-Table1417[[#This Row],[Update ]]</f>
        <v>410</v>
      </c>
    </row>
    <row r="140" spans="15:25" x14ac:dyDescent="0.2">
      <c r="O140" s="9" t="s">
        <v>52</v>
      </c>
      <c r="P140" s="50" t="s">
        <v>276</v>
      </c>
      <c r="Q140" s="49" t="s">
        <v>189</v>
      </c>
      <c r="R140" s="9">
        <v>13</v>
      </c>
      <c r="S140" s="47">
        <f>INDEX('Master (Filled)'!$Z$8:$Z$37,MATCH(Q140,'Master (Filled)'!$Y$8:$Y$37,0))</f>
        <v>120000</v>
      </c>
      <c r="T140" s="119">
        <f t="shared" si="9"/>
        <v>0.03</v>
      </c>
      <c r="U140" s="47">
        <f t="shared" si="10"/>
        <v>1556400</v>
      </c>
      <c r="V140" s="50" t="s">
        <v>276</v>
      </c>
      <c r="W140" s="124">
        <f t="shared" si="8"/>
        <v>755</v>
      </c>
      <c r="X140" s="124">
        <f>SUMIF(Table1316[Category],Table1417[[#This Row],[Category]],Table1316[[Quantity ]])</f>
        <v>345</v>
      </c>
      <c r="Y140" s="124">
        <f>Table1417[[#This Row],[Inventory]]-Table1417[[#This Row],[Update ]]</f>
        <v>410</v>
      </c>
    </row>
    <row r="141" spans="15:25" x14ac:dyDescent="0.2">
      <c r="O141" s="9" t="s">
        <v>52</v>
      </c>
      <c r="P141" s="50" t="s">
        <v>276</v>
      </c>
      <c r="Q141" s="49" t="s">
        <v>189</v>
      </c>
      <c r="R141" s="9">
        <v>2</v>
      </c>
      <c r="S141" s="47">
        <f>INDEX('Master (Filled)'!$Z$8:$Z$37,MATCH(Q141,'Master (Filled)'!$Y$8:$Y$37,0))</f>
        <v>120000</v>
      </c>
      <c r="T141" s="119">
        <f t="shared" si="9"/>
        <v>0.02</v>
      </c>
      <c r="U141" s="47">
        <f t="shared" si="10"/>
        <v>237600</v>
      </c>
      <c r="V141" s="50" t="s">
        <v>276</v>
      </c>
      <c r="W141" s="124">
        <f t="shared" si="8"/>
        <v>755</v>
      </c>
      <c r="X141" s="124">
        <f>SUMIF(Table1316[Category],Table1417[[#This Row],[Category]],Table1316[[Quantity ]])</f>
        <v>345</v>
      </c>
      <c r="Y141" s="124">
        <f>Table1417[[#This Row],[Inventory]]-Table1417[[#This Row],[Update ]]</f>
        <v>410</v>
      </c>
    </row>
    <row r="142" spans="15:25" x14ac:dyDescent="0.2">
      <c r="O142" s="9" t="s">
        <v>103</v>
      </c>
      <c r="P142" s="50" t="s">
        <v>278</v>
      </c>
      <c r="Q142" s="50" t="s">
        <v>137</v>
      </c>
      <c r="R142" s="9">
        <v>2</v>
      </c>
      <c r="S142" s="47">
        <f>INDEX('Master (Filled)'!$Z$8:$Z$37,MATCH(Q142,'Master (Filled)'!$Y$8:$Y$37,0))</f>
        <v>115000</v>
      </c>
      <c r="T142" s="119">
        <f t="shared" si="9"/>
        <v>0.02</v>
      </c>
      <c r="U142" s="47">
        <f t="shared" si="10"/>
        <v>227700</v>
      </c>
      <c r="V142" s="50" t="s">
        <v>278</v>
      </c>
      <c r="W142" s="124">
        <f t="shared" si="8"/>
        <v>755</v>
      </c>
      <c r="X142" s="124">
        <f>SUMIF(Table1316[Category],Table1417[[#This Row],[Category]],Table1316[[Quantity ]])</f>
        <v>299</v>
      </c>
      <c r="Y142" s="124">
        <f>Table1417[[#This Row],[Inventory]]-Table1417[[#This Row],[Update ]]</f>
        <v>456</v>
      </c>
    </row>
    <row r="143" spans="15:25" x14ac:dyDescent="0.2">
      <c r="O143" s="9" t="s">
        <v>103</v>
      </c>
      <c r="P143" s="50" t="s">
        <v>278</v>
      </c>
      <c r="Q143" s="50" t="s">
        <v>137</v>
      </c>
      <c r="R143" s="9">
        <v>2</v>
      </c>
      <c r="S143" s="47">
        <f>INDEX('Master (Filled)'!$Z$8:$Z$37,MATCH(Q143,'Master (Filled)'!$Y$8:$Y$37,0))</f>
        <v>115000</v>
      </c>
      <c r="T143" s="119">
        <f t="shared" si="9"/>
        <v>0.02</v>
      </c>
      <c r="U143" s="47">
        <f t="shared" si="10"/>
        <v>227700</v>
      </c>
      <c r="V143" s="50" t="s">
        <v>278</v>
      </c>
      <c r="W143" s="124">
        <f t="shared" si="8"/>
        <v>755</v>
      </c>
      <c r="X143" s="124">
        <f>SUMIF(Table1316[Category],Table1417[[#This Row],[Category]],Table1316[[Quantity ]])</f>
        <v>299</v>
      </c>
      <c r="Y143" s="124">
        <f>Table1417[[#This Row],[Inventory]]-Table1417[[#This Row],[Update ]]</f>
        <v>456</v>
      </c>
    </row>
    <row r="144" spans="15:25" x14ac:dyDescent="0.2">
      <c r="O144" s="9" t="s">
        <v>19</v>
      </c>
      <c r="P144" s="50" t="s">
        <v>280</v>
      </c>
      <c r="Q144" s="50" t="s">
        <v>32</v>
      </c>
      <c r="R144" s="9">
        <v>3</v>
      </c>
      <c r="S144" s="47">
        <f>INDEX('Master (Filled)'!$Z$8:$Z$37,MATCH(Q144,'Master (Filled)'!$Y$8:$Y$37,0))</f>
        <v>25500</v>
      </c>
      <c r="T144" s="119">
        <f t="shared" si="9"/>
        <v>0.02</v>
      </c>
      <c r="U144" s="47">
        <f t="shared" si="10"/>
        <v>75990</v>
      </c>
      <c r="V144" s="50" t="s">
        <v>280</v>
      </c>
      <c r="W144" s="124">
        <f t="shared" si="8"/>
        <v>755</v>
      </c>
      <c r="X144" s="124">
        <f>SUMIF(Table1316[Category],Table1417[[#This Row],[Category]],Table1316[[Quantity ]])</f>
        <v>241</v>
      </c>
      <c r="Y144" s="124">
        <f>Table1417[[#This Row],[Inventory]]-Table1417[[#This Row],[Update ]]</f>
        <v>514</v>
      </c>
    </row>
    <row r="145" spans="15:25" x14ac:dyDescent="0.2">
      <c r="O145" s="9" t="s">
        <v>31</v>
      </c>
      <c r="P145" s="50" t="s">
        <v>280</v>
      </c>
      <c r="Q145" s="50" t="s">
        <v>32</v>
      </c>
      <c r="R145" s="9">
        <v>4</v>
      </c>
      <c r="S145" s="47">
        <f>INDEX('Master (Filled)'!$Z$8:$Z$37,MATCH(Q145,'Master (Filled)'!$Y$8:$Y$37,0))</f>
        <v>25500</v>
      </c>
      <c r="T145" s="119">
        <f t="shared" si="9"/>
        <v>0.02</v>
      </c>
      <c r="U145" s="47">
        <f t="shared" si="10"/>
        <v>101490</v>
      </c>
      <c r="V145" s="50" t="s">
        <v>280</v>
      </c>
      <c r="W145" s="124">
        <f t="shared" si="8"/>
        <v>755</v>
      </c>
      <c r="X145" s="124">
        <f>SUMIF(Table1316[Category],Table1417[[#This Row],[Category]],Table1316[[Quantity ]])</f>
        <v>241</v>
      </c>
      <c r="Y145" s="124">
        <f>Table1417[[#This Row],[Inventory]]-Table1417[[#This Row],[Update ]]</f>
        <v>514</v>
      </c>
    </row>
    <row r="146" spans="15:25" x14ac:dyDescent="0.2">
      <c r="O146" s="9" t="s">
        <v>36</v>
      </c>
      <c r="P146" s="50" t="s">
        <v>278</v>
      </c>
      <c r="Q146" s="50" t="s">
        <v>37</v>
      </c>
      <c r="R146" s="9">
        <v>5</v>
      </c>
      <c r="S146" s="47">
        <f>INDEX('Master (Filled)'!$Z$8:$Z$37,MATCH(Q146,'Master (Filled)'!$Y$8:$Y$37,0))</f>
        <v>195000</v>
      </c>
      <c r="T146" s="119">
        <f t="shared" si="9"/>
        <v>0.02</v>
      </c>
      <c r="U146" s="47">
        <f t="shared" si="10"/>
        <v>971100</v>
      </c>
      <c r="V146" s="50" t="s">
        <v>278</v>
      </c>
      <c r="W146" s="124">
        <f t="shared" si="8"/>
        <v>755</v>
      </c>
      <c r="X146" s="124">
        <f>SUMIF(Table1316[Category],Table1417[[#This Row],[Category]],Table1316[[Quantity ]])</f>
        <v>299</v>
      </c>
      <c r="Y146" s="124">
        <f>Table1417[[#This Row],[Inventory]]-Table1417[[#This Row],[Update ]]</f>
        <v>456</v>
      </c>
    </row>
    <row r="147" spans="15:25" x14ac:dyDescent="0.2">
      <c r="O147" s="9" t="s">
        <v>40</v>
      </c>
      <c r="P147" s="50" t="s">
        <v>278</v>
      </c>
      <c r="Q147" s="50" t="s">
        <v>106</v>
      </c>
      <c r="R147" s="9">
        <v>7</v>
      </c>
      <c r="S147" s="47">
        <f>INDEX('Master (Filled)'!$Z$8:$Z$37,MATCH(Q147,'Master (Filled)'!$Y$8:$Y$37,0))</f>
        <v>45500</v>
      </c>
      <c r="T147" s="119">
        <f t="shared" si="9"/>
        <v>0.02</v>
      </c>
      <c r="U147" s="47">
        <f t="shared" si="10"/>
        <v>317590</v>
      </c>
      <c r="V147" s="50" t="s">
        <v>278</v>
      </c>
      <c r="W147" s="124">
        <f t="shared" si="8"/>
        <v>755</v>
      </c>
      <c r="X147" s="124">
        <f>SUMIF(Table1316[Category],Table1417[[#This Row],[Category]],Table1316[[Quantity ]])</f>
        <v>299</v>
      </c>
      <c r="Y147" s="124">
        <f>Table1417[[#This Row],[Inventory]]-Table1417[[#This Row],[Update ]]</f>
        <v>456</v>
      </c>
    </row>
    <row r="148" spans="15:25" x14ac:dyDescent="0.2">
      <c r="O148" s="9" t="s">
        <v>40</v>
      </c>
      <c r="P148" s="50" t="s">
        <v>278</v>
      </c>
      <c r="Q148" s="50" t="s">
        <v>106</v>
      </c>
      <c r="R148" s="9">
        <v>7</v>
      </c>
      <c r="S148" s="47">
        <f>INDEX('Master (Filled)'!$Z$8:$Z$37,MATCH(Q148,'Master (Filled)'!$Y$8:$Y$37,0))</f>
        <v>45500</v>
      </c>
      <c r="T148" s="119">
        <f t="shared" si="9"/>
        <v>0.02</v>
      </c>
      <c r="U148" s="47">
        <f t="shared" si="10"/>
        <v>317590</v>
      </c>
      <c r="V148" s="50" t="s">
        <v>278</v>
      </c>
      <c r="W148" s="124">
        <f t="shared" si="8"/>
        <v>755</v>
      </c>
      <c r="X148" s="124">
        <f>SUMIF(Table1316[Category],Table1417[[#This Row],[Category]],Table1316[[Quantity ]])</f>
        <v>299</v>
      </c>
      <c r="Y148" s="124">
        <f>Table1417[[#This Row],[Inventory]]-Table1417[[#This Row],[Update ]]</f>
        <v>456</v>
      </c>
    </row>
    <row r="149" spans="15:25" x14ac:dyDescent="0.2">
      <c r="O149" s="9" t="s">
        <v>46</v>
      </c>
      <c r="P149" s="50" t="s">
        <v>278</v>
      </c>
      <c r="Q149" s="50" t="s">
        <v>106</v>
      </c>
      <c r="R149" s="9">
        <v>5</v>
      </c>
      <c r="S149" s="47">
        <f>INDEX('Master (Filled)'!$Z$8:$Z$37,MATCH(Q149,'Master (Filled)'!$Y$8:$Y$37,0))</f>
        <v>45500</v>
      </c>
      <c r="T149" s="119">
        <f t="shared" si="9"/>
        <v>0.02</v>
      </c>
      <c r="U149" s="47">
        <f t="shared" si="10"/>
        <v>226590</v>
      </c>
      <c r="V149" s="50" t="s">
        <v>278</v>
      </c>
      <c r="W149" s="124">
        <f t="shared" si="8"/>
        <v>755</v>
      </c>
      <c r="X149" s="124">
        <f>SUMIF(Table1316[Category],Table1417[[#This Row],[Category]],Table1316[[Quantity ]])</f>
        <v>299</v>
      </c>
      <c r="Y149" s="124">
        <f>Table1417[[#This Row],[Inventory]]-Table1417[[#This Row],[Update ]]</f>
        <v>456</v>
      </c>
    </row>
    <row r="150" spans="15:25" x14ac:dyDescent="0.2">
      <c r="O150" s="9" t="s">
        <v>36</v>
      </c>
      <c r="P150" s="50" t="s">
        <v>278</v>
      </c>
      <c r="Q150" s="50" t="s">
        <v>37</v>
      </c>
      <c r="R150" s="9">
        <v>4</v>
      </c>
      <c r="S150" s="47">
        <f>INDEX('Master (Filled)'!$Z$8:$Z$37,MATCH(Q150,'Master (Filled)'!$Y$8:$Y$37,0))</f>
        <v>195000</v>
      </c>
      <c r="T150" s="119">
        <f t="shared" si="9"/>
        <v>0.02</v>
      </c>
      <c r="U150" s="47">
        <f t="shared" si="10"/>
        <v>776100</v>
      </c>
      <c r="V150" s="50" t="s">
        <v>278</v>
      </c>
      <c r="W150" s="124">
        <f t="shared" si="8"/>
        <v>755</v>
      </c>
      <c r="X150" s="124">
        <f>SUMIF(Table1316[Category],Table1417[[#This Row],[Category]],Table1316[[Quantity ]])</f>
        <v>299</v>
      </c>
      <c r="Y150" s="124">
        <f>Table1417[[#This Row],[Inventory]]-Table1417[[#This Row],[Update ]]</f>
        <v>456</v>
      </c>
    </row>
    <row r="151" spans="15:25" x14ac:dyDescent="0.2">
      <c r="O151" s="9" t="s">
        <v>52</v>
      </c>
      <c r="P151" s="50" t="s">
        <v>276</v>
      </c>
      <c r="Q151" s="49" t="s">
        <v>186</v>
      </c>
      <c r="R151" s="9">
        <v>6</v>
      </c>
      <c r="S151" s="47">
        <f>INDEX('Master (Filled)'!$Z$8:$Z$37,MATCH(Q151,'Master (Filled)'!$Y$8:$Y$37,0))</f>
        <v>75000</v>
      </c>
      <c r="T151" s="119">
        <f t="shared" si="9"/>
        <v>0.02</v>
      </c>
      <c r="U151" s="47">
        <f t="shared" si="10"/>
        <v>448500</v>
      </c>
      <c r="V151" s="50" t="s">
        <v>276</v>
      </c>
      <c r="W151" s="124">
        <f t="shared" si="8"/>
        <v>755</v>
      </c>
      <c r="X151" s="124">
        <f>SUMIF(Table1316[Category],Table1417[[#This Row],[Category]],Table1316[[Quantity ]])</f>
        <v>345</v>
      </c>
      <c r="Y151" s="124">
        <f>Table1417[[#This Row],[Inventory]]-Table1417[[#This Row],[Update ]]</f>
        <v>410</v>
      </c>
    </row>
    <row r="152" spans="15:25" x14ac:dyDescent="0.2">
      <c r="O152" s="9" t="s">
        <v>56</v>
      </c>
      <c r="P152" s="50" t="s">
        <v>276</v>
      </c>
      <c r="Q152" s="49" t="s">
        <v>92</v>
      </c>
      <c r="R152" s="9">
        <v>8</v>
      </c>
      <c r="S152" s="47">
        <f>INDEX('Master (Filled)'!$Z$8:$Z$37,MATCH(Q152,'Master (Filled)'!$Y$8:$Y$37,0))</f>
        <v>55000</v>
      </c>
      <c r="T152" s="119">
        <f t="shared" si="9"/>
        <v>0.02</v>
      </c>
      <c r="U152" s="47">
        <f t="shared" si="10"/>
        <v>438900</v>
      </c>
      <c r="V152" s="50" t="s">
        <v>276</v>
      </c>
      <c r="W152" s="124">
        <f t="shared" si="8"/>
        <v>755</v>
      </c>
      <c r="X152" s="124">
        <f>SUMIF(Table1316[Category],Table1417[[#This Row],[Category]],Table1316[[Quantity ]])</f>
        <v>345</v>
      </c>
      <c r="Y152" s="124">
        <f>Table1417[[#This Row],[Inventory]]-Table1417[[#This Row],[Update ]]</f>
        <v>410</v>
      </c>
    </row>
    <row r="153" spans="15:25" x14ac:dyDescent="0.2">
      <c r="O153" s="9" t="s">
        <v>59</v>
      </c>
      <c r="P153" s="50" t="s">
        <v>276</v>
      </c>
      <c r="Q153" s="49" t="s">
        <v>189</v>
      </c>
      <c r="R153" s="9">
        <v>8</v>
      </c>
      <c r="S153" s="47">
        <f>INDEX('Master (Filled)'!$Z$8:$Z$37,MATCH(Q153,'Master (Filled)'!$Y$8:$Y$37,0))</f>
        <v>120000</v>
      </c>
      <c r="T153" s="119">
        <f t="shared" si="9"/>
        <v>0.02</v>
      </c>
      <c r="U153" s="47">
        <f t="shared" si="10"/>
        <v>957600</v>
      </c>
      <c r="V153" s="50" t="s">
        <v>276</v>
      </c>
      <c r="W153" s="124">
        <f t="shared" si="8"/>
        <v>755</v>
      </c>
      <c r="X153" s="124">
        <f>SUMIF(Table1316[Category],Table1417[[#This Row],[Category]],Table1316[[Quantity ]])</f>
        <v>345</v>
      </c>
      <c r="Y153" s="124">
        <f>Table1417[[#This Row],[Inventory]]-Table1417[[#This Row],[Update ]]</f>
        <v>410</v>
      </c>
    </row>
    <row r="154" spans="15:25" x14ac:dyDescent="0.2">
      <c r="O154" s="9" t="s">
        <v>31</v>
      </c>
      <c r="P154" s="50" t="s">
        <v>280</v>
      </c>
      <c r="Q154" s="50" t="s">
        <v>32</v>
      </c>
      <c r="R154" s="9">
        <v>9</v>
      </c>
      <c r="S154" s="47">
        <f>INDEX('Master (Filled)'!$Z$8:$Z$37,MATCH(Q154,'Master (Filled)'!$Y$8:$Y$37,0))</f>
        <v>25500</v>
      </c>
      <c r="T154" s="119">
        <f t="shared" si="9"/>
        <v>0.03</v>
      </c>
      <c r="U154" s="47">
        <f t="shared" si="10"/>
        <v>228735</v>
      </c>
      <c r="V154" s="50" t="s">
        <v>280</v>
      </c>
      <c r="W154" s="124">
        <f t="shared" si="8"/>
        <v>755</v>
      </c>
      <c r="X154" s="124">
        <f>SUMIF(Table1316[Category],Table1417[[#This Row],[Category]],Table1316[[Quantity ]])</f>
        <v>241</v>
      </c>
      <c r="Y154" s="124">
        <f>Table1417[[#This Row],[Inventory]]-Table1417[[#This Row],[Update ]]</f>
        <v>514</v>
      </c>
    </row>
    <row r="155" spans="15:25" x14ac:dyDescent="0.2">
      <c r="O155" s="9" t="s">
        <v>59</v>
      </c>
      <c r="P155" s="50" t="s">
        <v>276</v>
      </c>
      <c r="Q155" s="49" t="s">
        <v>189</v>
      </c>
      <c r="R155" s="9">
        <v>11</v>
      </c>
      <c r="S155" s="47">
        <f>INDEX('Master (Filled)'!$Z$8:$Z$37,MATCH(Q155,'Master (Filled)'!$Y$8:$Y$37,0))</f>
        <v>120000</v>
      </c>
      <c r="T155" s="119">
        <f t="shared" si="9"/>
        <v>0.03</v>
      </c>
      <c r="U155" s="47">
        <f t="shared" si="10"/>
        <v>1316400</v>
      </c>
      <c r="V155" s="50" t="s">
        <v>276</v>
      </c>
      <c r="W155" s="124">
        <f t="shared" ref="W155:W184" si="11">IF(Q155="Food Product",700,IF(Q155="Non Food Product",900,IF(Q155="General Merchandise Product",855,755)))</f>
        <v>755</v>
      </c>
      <c r="X155" s="124">
        <f>SUMIF(Table1316[Category],Table1417[[#This Row],[Category]],Table1316[[Quantity ]])</f>
        <v>345</v>
      </c>
      <c r="Y155" s="124">
        <f>Table1417[[#This Row],[Inventory]]-Table1417[[#This Row],[Update ]]</f>
        <v>410</v>
      </c>
    </row>
    <row r="156" spans="15:25" x14ac:dyDescent="0.2">
      <c r="O156" s="9" t="s">
        <v>52</v>
      </c>
      <c r="P156" s="50" t="s">
        <v>276</v>
      </c>
      <c r="Q156" s="49" t="s">
        <v>92</v>
      </c>
      <c r="R156" s="9">
        <v>10</v>
      </c>
      <c r="S156" s="47">
        <f>INDEX('Master (Filled)'!$Z$8:$Z$37,MATCH(Q156,'Master (Filled)'!$Y$8:$Y$37,0))</f>
        <v>55000</v>
      </c>
      <c r="T156" s="119">
        <f t="shared" si="9"/>
        <v>0.03</v>
      </c>
      <c r="U156" s="47">
        <f t="shared" si="10"/>
        <v>548350</v>
      </c>
      <c r="V156" s="50" t="s">
        <v>276</v>
      </c>
      <c r="W156" s="124">
        <f t="shared" si="11"/>
        <v>755</v>
      </c>
      <c r="X156" s="124">
        <f>SUMIF(Table1316[Category],Table1417[[#This Row],[Category]],Table1316[[Quantity ]])</f>
        <v>345</v>
      </c>
      <c r="Y156" s="124">
        <f>Table1417[[#This Row],[Inventory]]-Table1417[[#This Row],[Update ]]</f>
        <v>410</v>
      </c>
    </row>
    <row r="157" spans="15:25" x14ac:dyDescent="0.2">
      <c r="O157" s="9" t="s">
        <v>59</v>
      </c>
      <c r="P157" s="50" t="s">
        <v>276</v>
      </c>
      <c r="Q157" s="49" t="s">
        <v>189</v>
      </c>
      <c r="R157" s="9">
        <v>9</v>
      </c>
      <c r="S157" s="47">
        <f>INDEX('Master (Filled)'!$Z$8:$Z$37,MATCH(Q157,'Master (Filled)'!$Y$8:$Y$37,0))</f>
        <v>120000</v>
      </c>
      <c r="T157" s="119">
        <f t="shared" si="9"/>
        <v>0.03</v>
      </c>
      <c r="U157" s="47">
        <f t="shared" si="10"/>
        <v>1076400</v>
      </c>
      <c r="V157" s="50" t="s">
        <v>276</v>
      </c>
      <c r="W157" s="124">
        <f t="shared" si="11"/>
        <v>755</v>
      </c>
      <c r="X157" s="124">
        <f>SUMIF(Table1316[Category],Table1417[[#This Row],[Category]],Table1316[[Quantity ]])</f>
        <v>345</v>
      </c>
      <c r="Y157" s="124">
        <f>Table1417[[#This Row],[Inventory]]-Table1417[[#This Row],[Update ]]</f>
        <v>410</v>
      </c>
    </row>
    <row r="158" spans="15:25" x14ac:dyDescent="0.2">
      <c r="O158" s="9" t="s">
        <v>67</v>
      </c>
      <c r="P158" s="50" t="s">
        <v>282</v>
      </c>
      <c r="Q158" s="49" t="s">
        <v>62</v>
      </c>
      <c r="R158" s="9">
        <v>5</v>
      </c>
      <c r="S158" s="47">
        <f>INDEX('Master (Filled)'!$Z$8:$Z$37,MATCH(Q158,'Master (Filled)'!$Y$8:$Y$37,0))</f>
        <v>75000</v>
      </c>
      <c r="T158" s="119">
        <f t="shared" si="9"/>
        <v>0.02</v>
      </c>
      <c r="U158" s="47">
        <f t="shared" si="10"/>
        <v>373500</v>
      </c>
      <c r="V158" s="50" t="s">
        <v>282</v>
      </c>
      <c r="W158" s="124">
        <f t="shared" si="11"/>
        <v>755</v>
      </c>
      <c r="X158" s="124">
        <f>SUMIF(Table1316[Category],Table1417[[#This Row],[Category]],Table1316[[Quantity ]])</f>
        <v>215</v>
      </c>
      <c r="Y158" s="124">
        <f>Table1417[[#This Row],[Inventory]]-Table1417[[#This Row],[Update ]]</f>
        <v>540</v>
      </c>
    </row>
    <row r="159" spans="15:25" x14ac:dyDescent="0.2">
      <c r="O159" s="9" t="s">
        <v>67</v>
      </c>
      <c r="P159" s="50" t="s">
        <v>282</v>
      </c>
      <c r="Q159" s="49" t="s">
        <v>64</v>
      </c>
      <c r="R159" s="9">
        <v>5</v>
      </c>
      <c r="S159" s="47">
        <f>INDEX('Master (Filled)'!$Z$8:$Z$37,MATCH(Q159,'Master (Filled)'!$Y$8:$Y$37,0))</f>
        <v>85000</v>
      </c>
      <c r="T159" s="119">
        <f t="shared" si="9"/>
        <v>0.02</v>
      </c>
      <c r="U159" s="47">
        <f t="shared" si="10"/>
        <v>423300</v>
      </c>
      <c r="V159" s="50" t="s">
        <v>282</v>
      </c>
      <c r="W159" s="124">
        <f t="shared" si="11"/>
        <v>755</v>
      </c>
      <c r="X159" s="124">
        <f>SUMIF(Table1316[Category],Table1417[[#This Row],[Category]],Table1316[[Quantity ]])</f>
        <v>215</v>
      </c>
      <c r="Y159" s="124">
        <f>Table1417[[#This Row],[Inventory]]-Table1417[[#This Row],[Update ]]</f>
        <v>540</v>
      </c>
    </row>
    <row r="160" spans="15:25" x14ac:dyDescent="0.2">
      <c r="O160" s="9" t="s">
        <v>59</v>
      </c>
      <c r="P160" s="50" t="s">
        <v>276</v>
      </c>
      <c r="Q160" s="49" t="s">
        <v>92</v>
      </c>
      <c r="R160" s="9">
        <v>3</v>
      </c>
      <c r="S160" s="47">
        <f>INDEX('Master (Filled)'!$Z$8:$Z$37,MATCH(Q160,'Master (Filled)'!$Y$8:$Y$37,0))</f>
        <v>55000</v>
      </c>
      <c r="T160" s="119">
        <f t="shared" si="9"/>
        <v>0.02</v>
      </c>
      <c r="U160" s="47">
        <f t="shared" si="10"/>
        <v>163900</v>
      </c>
      <c r="V160" s="50" t="s">
        <v>276</v>
      </c>
      <c r="W160" s="124">
        <f t="shared" si="11"/>
        <v>755</v>
      </c>
      <c r="X160" s="124">
        <f>SUMIF(Table1316[Category],Table1417[[#This Row],[Category]],Table1316[[Quantity ]])</f>
        <v>345</v>
      </c>
      <c r="Y160" s="124">
        <f>Table1417[[#This Row],[Inventory]]-Table1417[[#This Row],[Update ]]</f>
        <v>410</v>
      </c>
    </row>
    <row r="161" spans="15:25" x14ac:dyDescent="0.2">
      <c r="O161" s="9" t="s">
        <v>31</v>
      </c>
      <c r="P161" s="50" t="s">
        <v>280</v>
      </c>
      <c r="Q161" s="50" t="s">
        <v>32</v>
      </c>
      <c r="R161" s="9">
        <v>2</v>
      </c>
      <c r="S161" s="47">
        <f>INDEX('Master (Filled)'!$Z$8:$Z$37,MATCH(Q161,'Master (Filled)'!$Y$8:$Y$37,0))</f>
        <v>25500</v>
      </c>
      <c r="T161" s="119">
        <f t="shared" si="9"/>
        <v>0.02</v>
      </c>
      <c r="U161" s="47">
        <f t="shared" si="10"/>
        <v>50490</v>
      </c>
      <c r="V161" s="50" t="s">
        <v>280</v>
      </c>
      <c r="W161" s="124">
        <f t="shared" si="11"/>
        <v>755</v>
      </c>
      <c r="X161" s="124">
        <f>SUMIF(Table1316[Category],Table1417[[#This Row],[Category]],Table1316[[Quantity ]])</f>
        <v>241</v>
      </c>
      <c r="Y161" s="124">
        <f>Table1417[[#This Row],[Inventory]]-Table1417[[#This Row],[Update ]]</f>
        <v>514</v>
      </c>
    </row>
    <row r="162" spans="15:25" x14ac:dyDescent="0.2">
      <c r="O162" s="9" t="s">
        <v>67</v>
      </c>
      <c r="P162" s="50" t="s">
        <v>282</v>
      </c>
      <c r="Q162" s="49" t="s">
        <v>62</v>
      </c>
      <c r="R162" s="9">
        <v>2</v>
      </c>
      <c r="S162" s="47">
        <f>INDEX('Master (Filled)'!$Z$8:$Z$37,MATCH(Q162,'Master (Filled)'!$Y$8:$Y$37,0))</f>
        <v>75000</v>
      </c>
      <c r="T162" s="119">
        <f t="shared" si="9"/>
        <v>0.02</v>
      </c>
      <c r="U162" s="47">
        <f t="shared" si="10"/>
        <v>148500</v>
      </c>
      <c r="V162" s="50" t="s">
        <v>282</v>
      </c>
      <c r="W162" s="124">
        <f t="shared" si="11"/>
        <v>755</v>
      </c>
      <c r="X162" s="124">
        <f>SUMIF(Table1316[Category],Table1417[[#This Row],[Category]],Table1316[[Quantity ]])</f>
        <v>215</v>
      </c>
      <c r="Y162" s="124">
        <f>Table1417[[#This Row],[Inventory]]-Table1417[[#This Row],[Update ]]</f>
        <v>540</v>
      </c>
    </row>
    <row r="163" spans="15:25" x14ac:dyDescent="0.2">
      <c r="O163" s="9" t="s">
        <v>31</v>
      </c>
      <c r="P163" s="50" t="s">
        <v>280</v>
      </c>
      <c r="Q163" s="50" t="s">
        <v>25</v>
      </c>
      <c r="R163" s="9">
        <v>2</v>
      </c>
      <c r="S163" s="47">
        <f>INDEX('Master (Filled)'!$Z$8:$Z$37,MATCH(Q163,'Master (Filled)'!$Y$8:$Y$37,0))</f>
        <v>69999</v>
      </c>
      <c r="T163" s="119">
        <f t="shared" si="9"/>
        <v>0.02</v>
      </c>
      <c r="U163" s="47">
        <f t="shared" si="10"/>
        <v>138598.01999999999</v>
      </c>
      <c r="V163" s="50" t="s">
        <v>280</v>
      </c>
      <c r="W163" s="124">
        <f t="shared" si="11"/>
        <v>755</v>
      </c>
      <c r="X163" s="124">
        <f>SUMIF(Table1316[Category],Table1417[[#This Row],[Category]],Table1316[[Quantity ]])</f>
        <v>241</v>
      </c>
      <c r="Y163" s="124">
        <f>Table1417[[#This Row],[Inventory]]-Table1417[[#This Row],[Update ]]</f>
        <v>514</v>
      </c>
    </row>
    <row r="164" spans="15:25" x14ac:dyDescent="0.2">
      <c r="O164" s="9" t="s">
        <v>31</v>
      </c>
      <c r="P164" s="50" t="s">
        <v>280</v>
      </c>
      <c r="Q164" s="50" t="s">
        <v>32</v>
      </c>
      <c r="R164" s="9">
        <v>4</v>
      </c>
      <c r="S164" s="47">
        <f>INDEX('Master (Filled)'!$Z$8:$Z$37,MATCH(Q164,'Master (Filled)'!$Y$8:$Y$37,0))</f>
        <v>25500</v>
      </c>
      <c r="T164" s="119">
        <f t="shared" si="9"/>
        <v>0.02</v>
      </c>
      <c r="U164" s="47">
        <f t="shared" si="10"/>
        <v>101490</v>
      </c>
      <c r="V164" s="50" t="s">
        <v>280</v>
      </c>
      <c r="W164" s="124">
        <f t="shared" si="11"/>
        <v>755</v>
      </c>
      <c r="X164" s="124">
        <f>SUMIF(Table1316[Category],Table1417[[#This Row],[Category]],Table1316[[Quantity ]])</f>
        <v>241</v>
      </c>
      <c r="Y164" s="124">
        <f>Table1417[[#This Row],[Inventory]]-Table1417[[#This Row],[Update ]]</f>
        <v>514</v>
      </c>
    </row>
    <row r="165" spans="15:25" x14ac:dyDescent="0.2">
      <c r="O165" s="9" t="s">
        <v>31</v>
      </c>
      <c r="P165" s="50" t="s">
        <v>280</v>
      </c>
      <c r="Q165" s="50" t="s">
        <v>32</v>
      </c>
      <c r="R165" s="9">
        <v>5</v>
      </c>
      <c r="S165" s="47">
        <f>INDEX('Master (Filled)'!$Z$8:$Z$37,MATCH(Q165,'Master (Filled)'!$Y$8:$Y$37,0))</f>
        <v>25500</v>
      </c>
      <c r="T165" s="119">
        <f t="shared" si="9"/>
        <v>0.02</v>
      </c>
      <c r="U165" s="47">
        <f t="shared" si="10"/>
        <v>126990</v>
      </c>
      <c r="V165" s="50" t="s">
        <v>280</v>
      </c>
      <c r="W165" s="124">
        <f t="shared" si="11"/>
        <v>755</v>
      </c>
      <c r="X165" s="124">
        <f>SUMIF(Table1316[Category],Table1417[[#This Row],[Category]],Table1316[[Quantity ]])</f>
        <v>241</v>
      </c>
      <c r="Y165" s="124">
        <f>Table1417[[#This Row],[Inventory]]-Table1417[[#This Row],[Update ]]</f>
        <v>514</v>
      </c>
    </row>
    <row r="166" spans="15:25" x14ac:dyDescent="0.2">
      <c r="O166" s="9" t="s">
        <v>59</v>
      </c>
      <c r="P166" s="50" t="s">
        <v>276</v>
      </c>
      <c r="Q166" s="49" t="s">
        <v>189</v>
      </c>
      <c r="R166" s="9">
        <v>5</v>
      </c>
      <c r="S166" s="47">
        <f>INDEX('Master (Filled)'!$Z$8:$Z$37,MATCH(Q166,'Master (Filled)'!$Y$8:$Y$37,0))</f>
        <v>120000</v>
      </c>
      <c r="T166" s="119">
        <f t="shared" si="9"/>
        <v>0.02</v>
      </c>
      <c r="U166" s="47">
        <f t="shared" si="10"/>
        <v>597600</v>
      </c>
      <c r="V166" s="50" t="s">
        <v>276</v>
      </c>
      <c r="W166" s="124">
        <f t="shared" si="11"/>
        <v>755</v>
      </c>
      <c r="X166" s="124">
        <f>SUMIF(Table1316[Category],Table1417[[#This Row],[Category]],Table1316[[Quantity ]])</f>
        <v>345</v>
      </c>
      <c r="Y166" s="124">
        <f>Table1417[[#This Row],[Inventory]]-Table1417[[#This Row],[Update ]]</f>
        <v>410</v>
      </c>
    </row>
    <row r="167" spans="15:25" x14ac:dyDescent="0.2">
      <c r="O167" s="9" t="s">
        <v>59</v>
      </c>
      <c r="P167" s="50" t="s">
        <v>276</v>
      </c>
      <c r="Q167" s="49" t="s">
        <v>189</v>
      </c>
      <c r="R167" s="9">
        <v>7</v>
      </c>
      <c r="S167" s="47">
        <f>INDEX('Master (Filled)'!$Z$8:$Z$37,MATCH(Q167,'Master (Filled)'!$Y$8:$Y$37,0))</f>
        <v>120000</v>
      </c>
      <c r="T167" s="119">
        <f t="shared" si="9"/>
        <v>0.02</v>
      </c>
      <c r="U167" s="47">
        <f t="shared" si="10"/>
        <v>837600</v>
      </c>
      <c r="V167" s="50" t="s">
        <v>276</v>
      </c>
      <c r="W167" s="124">
        <f t="shared" si="11"/>
        <v>755</v>
      </c>
      <c r="X167" s="124">
        <f>SUMIF(Table1316[Category],Table1417[[#This Row],[Category]],Table1316[[Quantity ]])</f>
        <v>345</v>
      </c>
      <c r="Y167" s="124">
        <f>Table1417[[#This Row],[Inventory]]-Table1417[[#This Row],[Update ]]</f>
        <v>410</v>
      </c>
    </row>
    <row r="168" spans="15:25" x14ac:dyDescent="0.2">
      <c r="O168" s="9" t="s">
        <v>59</v>
      </c>
      <c r="P168" s="50" t="s">
        <v>276</v>
      </c>
      <c r="Q168" s="49" t="s">
        <v>92</v>
      </c>
      <c r="R168" s="9">
        <v>7</v>
      </c>
      <c r="S168" s="47">
        <f>INDEX('Master (Filled)'!$Z$8:$Z$37,MATCH(Q168,'Master (Filled)'!$Y$8:$Y$37,0))</f>
        <v>55000</v>
      </c>
      <c r="T168" s="119">
        <f t="shared" si="9"/>
        <v>0.02</v>
      </c>
      <c r="U168" s="47">
        <f t="shared" si="10"/>
        <v>383900</v>
      </c>
      <c r="V168" s="50" t="s">
        <v>276</v>
      </c>
      <c r="W168" s="124">
        <f t="shared" si="11"/>
        <v>755</v>
      </c>
      <c r="X168" s="124">
        <f>SUMIF(Table1316[Category],Table1417[[#This Row],[Category]],Table1316[[Quantity ]])</f>
        <v>345</v>
      </c>
      <c r="Y168" s="124">
        <f>Table1417[[#This Row],[Inventory]]-Table1417[[#This Row],[Update ]]</f>
        <v>410</v>
      </c>
    </row>
    <row r="169" spans="15:25" x14ac:dyDescent="0.2">
      <c r="O169" s="9" t="s">
        <v>36</v>
      </c>
      <c r="P169" s="50" t="s">
        <v>278</v>
      </c>
      <c r="Q169" s="50" t="s">
        <v>37</v>
      </c>
      <c r="R169" s="9">
        <v>7</v>
      </c>
      <c r="S169" s="47">
        <f>INDEX('Master (Filled)'!$Z$8:$Z$37,MATCH(Q169,'Master (Filled)'!$Y$8:$Y$37,0))</f>
        <v>195000</v>
      </c>
      <c r="T169" s="119">
        <f t="shared" si="9"/>
        <v>0.02</v>
      </c>
      <c r="U169" s="47">
        <f t="shared" si="10"/>
        <v>1361100</v>
      </c>
      <c r="V169" s="50" t="s">
        <v>278</v>
      </c>
      <c r="W169" s="124">
        <f t="shared" si="11"/>
        <v>755</v>
      </c>
      <c r="X169" s="124">
        <f>SUMIF(Table1316[Category],Table1417[[#This Row],[Category]],Table1316[[Quantity ]])</f>
        <v>299</v>
      </c>
      <c r="Y169" s="124">
        <f>Table1417[[#This Row],[Inventory]]-Table1417[[#This Row],[Update ]]</f>
        <v>456</v>
      </c>
    </row>
    <row r="170" spans="15:25" x14ac:dyDescent="0.2">
      <c r="O170" s="9" t="s">
        <v>40</v>
      </c>
      <c r="P170" s="50" t="s">
        <v>278</v>
      </c>
      <c r="Q170" s="50" t="s">
        <v>37</v>
      </c>
      <c r="R170" s="9">
        <v>8</v>
      </c>
      <c r="S170" s="47">
        <f>INDEX('Master (Filled)'!$Z$8:$Z$37,MATCH(Q170,'Master (Filled)'!$Y$8:$Y$37,0))</f>
        <v>195000</v>
      </c>
      <c r="T170" s="119">
        <f t="shared" si="9"/>
        <v>0.02</v>
      </c>
      <c r="U170" s="47">
        <f t="shared" si="10"/>
        <v>1556100</v>
      </c>
      <c r="V170" s="50" t="s">
        <v>278</v>
      </c>
      <c r="W170" s="124">
        <f t="shared" si="11"/>
        <v>755</v>
      </c>
      <c r="X170" s="124">
        <f>SUMIF(Table1316[Category],Table1417[[#This Row],[Category]],Table1316[[Quantity ]])</f>
        <v>299</v>
      </c>
      <c r="Y170" s="124">
        <f>Table1417[[#This Row],[Inventory]]-Table1417[[#This Row],[Update ]]</f>
        <v>456</v>
      </c>
    </row>
    <row r="171" spans="15:25" x14ac:dyDescent="0.2">
      <c r="O171" s="9" t="s">
        <v>67</v>
      </c>
      <c r="P171" s="50" t="s">
        <v>282</v>
      </c>
      <c r="Q171" s="49" t="s">
        <v>62</v>
      </c>
      <c r="R171" s="9">
        <v>5</v>
      </c>
      <c r="S171" s="47">
        <f>INDEX('Master (Filled)'!$Z$8:$Z$37,MATCH(Q171,'Master (Filled)'!$Y$8:$Y$37,0))</f>
        <v>75000</v>
      </c>
      <c r="T171" s="119">
        <f t="shared" si="9"/>
        <v>0.02</v>
      </c>
      <c r="U171" s="47">
        <f t="shared" si="10"/>
        <v>373500</v>
      </c>
      <c r="V171" s="50" t="s">
        <v>282</v>
      </c>
      <c r="W171" s="124">
        <f t="shared" si="11"/>
        <v>755</v>
      </c>
      <c r="X171" s="124">
        <f>SUMIF(Table1316[Category],Table1417[[#This Row],[Category]],Table1316[[Quantity ]])</f>
        <v>215</v>
      </c>
      <c r="Y171" s="124">
        <f>Table1417[[#This Row],[Inventory]]-Table1417[[#This Row],[Update ]]</f>
        <v>540</v>
      </c>
    </row>
    <row r="172" spans="15:25" x14ac:dyDescent="0.2">
      <c r="O172" s="9" t="s">
        <v>36</v>
      </c>
      <c r="P172" s="50" t="s">
        <v>278</v>
      </c>
      <c r="Q172" s="50" t="s">
        <v>137</v>
      </c>
      <c r="R172" s="9">
        <v>4</v>
      </c>
      <c r="S172" s="47">
        <f>INDEX('Master (Filled)'!$Z$8:$Z$37,MATCH(Q172,'Master (Filled)'!$Y$8:$Y$37,0))</f>
        <v>115000</v>
      </c>
      <c r="T172" s="119">
        <f t="shared" si="9"/>
        <v>0.02</v>
      </c>
      <c r="U172" s="47">
        <f t="shared" si="10"/>
        <v>457700</v>
      </c>
      <c r="V172" s="50" t="s">
        <v>278</v>
      </c>
      <c r="W172" s="124">
        <f t="shared" si="11"/>
        <v>755</v>
      </c>
      <c r="X172" s="124">
        <f>SUMIF(Table1316[Category],Table1417[[#This Row],[Category]],Table1316[[Quantity ]])</f>
        <v>299</v>
      </c>
      <c r="Y172" s="124">
        <f>Table1417[[#This Row],[Inventory]]-Table1417[[#This Row],[Update ]]</f>
        <v>456</v>
      </c>
    </row>
    <row r="173" spans="15:25" x14ac:dyDescent="0.2">
      <c r="O173" s="9" t="s">
        <v>56</v>
      </c>
      <c r="P173" s="50" t="s">
        <v>276</v>
      </c>
      <c r="Q173" s="49" t="s">
        <v>92</v>
      </c>
      <c r="R173" s="9">
        <v>6</v>
      </c>
      <c r="S173" s="47">
        <f>INDEX('Master (Filled)'!$Z$8:$Z$37,MATCH(Q173,'Master (Filled)'!$Y$8:$Y$37,0))</f>
        <v>55000</v>
      </c>
      <c r="T173" s="119">
        <f t="shared" si="9"/>
        <v>0.02</v>
      </c>
      <c r="U173" s="47">
        <f t="shared" si="10"/>
        <v>328900</v>
      </c>
      <c r="V173" s="50" t="s">
        <v>276</v>
      </c>
      <c r="W173" s="124">
        <f t="shared" si="11"/>
        <v>755</v>
      </c>
      <c r="X173" s="124">
        <f>SUMIF(Table1316[Category],Table1417[[#This Row],[Category]],Table1316[[Quantity ]])</f>
        <v>345</v>
      </c>
      <c r="Y173" s="124">
        <f>Table1417[[#This Row],[Inventory]]-Table1417[[#This Row],[Update ]]</f>
        <v>410</v>
      </c>
    </row>
    <row r="174" spans="15:25" x14ac:dyDescent="0.2">
      <c r="O174" s="9" t="s">
        <v>52</v>
      </c>
      <c r="P174" s="50" t="s">
        <v>276</v>
      </c>
      <c r="Q174" s="49" t="s">
        <v>189</v>
      </c>
      <c r="R174" s="9">
        <v>8</v>
      </c>
      <c r="S174" s="47">
        <f>INDEX('Master (Filled)'!$Z$8:$Z$37,MATCH(Q174,'Master (Filled)'!$Y$8:$Y$37,0))</f>
        <v>120000</v>
      </c>
      <c r="T174" s="119">
        <f t="shared" si="9"/>
        <v>0.02</v>
      </c>
      <c r="U174" s="47">
        <f t="shared" si="10"/>
        <v>957600</v>
      </c>
      <c r="V174" s="50" t="s">
        <v>276</v>
      </c>
      <c r="W174" s="124">
        <f t="shared" si="11"/>
        <v>755</v>
      </c>
      <c r="X174" s="124">
        <f>SUMIF(Table1316[Category],Table1417[[#This Row],[Category]],Table1316[[Quantity ]])</f>
        <v>345</v>
      </c>
      <c r="Y174" s="124">
        <f>Table1417[[#This Row],[Inventory]]-Table1417[[#This Row],[Update ]]</f>
        <v>410</v>
      </c>
    </row>
    <row r="175" spans="15:25" x14ac:dyDescent="0.2">
      <c r="O175" s="9" t="s">
        <v>52</v>
      </c>
      <c r="P175" s="50" t="s">
        <v>276</v>
      </c>
      <c r="Q175" s="49" t="s">
        <v>186</v>
      </c>
      <c r="R175" s="9">
        <v>8</v>
      </c>
      <c r="S175" s="47">
        <f>INDEX('Master (Filled)'!$Z$8:$Z$37,MATCH(Q175,'Master (Filled)'!$Y$8:$Y$37,0))</f>
        <v>75000</v>
      </c>
      <c r="T175" s="119">
        <f t="shared" si="9"/>
        <v>0.02</v>
      </c>
      <c r="U175" s="47">
        <f t="shared" si="10"/>
        <v>598500</v>
      </c>
      <c r="V175" s="50" t="s">
        <v>276</v>
      </c>
      <c r="W175" s="124">
        <f t="shared" si="11"/>
        <v>755</v>
      </c>
      <c r="X175" s="124">
        <f>SUMIF(Table1316[Category],Table1417[[#This Row],[Category]],Table1316[[Quantity ]])</f>
        <v>345</v>
      </c>
      <c r="Y175" s="124">
        <f>Table1417[[#This Row],[Inventory]]-Table1417[[#This Row],[Update ]]</f>
        <v>410</v>
      </c>
    </row>
    <row r="176" spans="15:25" x14ac:dyDescent="0.2">
      <c r="O176" s="9" t="s">
        <v>103</v>
      </c>
      <c r="P176" s="50" t="s">
        <v>278</v>
      </c>
      <c r="Q176" s="50" t="s">
        <v>37</v>
      </c>
      <c r="R176" s="9">
        <v>9</v>
      </c>
      <c r="S176" s="47">
        <f>INDEX('Master (Filled)'!$Z$8:$Z$37,MATCH(Q176,'Master (Filled)'!$Y$8:$Y$37,0))</f>
        <v>195000</v>
      </c>
      <c r="T176" s="119">
        <f t="shared" si="9"/>
        <v>0.03</v>
      </c>
      <c r="U176" s="47">
        <f t="shared" si="10"/>
        <v>1749150</v>
      </c>
      <c r="V176" s="50" t="s">
        <v>278</v>
      </c>
      <c r="W176" s="124">
        <f t="shared" si="11"/>
        <v>755</v>
      </c>
      <c r="X176" s="124">
        <f>SUMIF(Table1316[Category],Table1417[[#This Row],[Category]],Table1316[[Quantity ]])</f>
        <v>299</v>
      </c>
      <c r="Y176" s="124">
        <f>Table1417[[#This Row],[Inventory]]-Table1417[[#This Row],[Update ]]</f>
        <v>456</v>
      </c>
    </row>
    <row r="177" spans="15:25" x14ac:dyDescent="0.2">
      <c r="O177" s="9" t="s">
        <v>103</v>
      </c>
      <c r="P177" s="50" t="s">
        <v>278</v>
      </c>
      <c r="Q177" s="50" t="s">
        <v>37</v>
      </c>
      <c r="R177" s="9">
        <v>11</v>
      </c>
      <c r="S177" s="47">
        <f>INDEX('Master (Filled)'!$Z$8:$Z$37,MATCH(Q177,'Master (Filled)'!$Y$8:$Y$37,0))</f>
        <v>195000</v>
      </c>
      <c r="T177" s="119">
        <f t="shared" si="9"/>
        <v>0.03</v>
      </c>
      <c r="U177" s="47">
        <f t="shared" si="10"/>
        <v>2139150</v>
      </c>
      <c r="V177" s="50" t="s">
        <v>278</v>
      </c>
      <c r="W177" s="124">
        <f t="shared" si="11"/>
        <v>755</v>
      </c>
      <c r="X177" s="124">
        <f>SUMIF(Table1316[Category],Table1417[[#This Row],[Category]],Table1316[[Quantity ]])</f>
        <v>299</v>
      </c>
      <c r="Y177" s="124">
        <f>Table1417[[#This Row],[Inventory]]-Table1417[[#This Row],[Update ]]</f>
        <v>456</v>
      </c>
    </row>
    <row r="178" spans="15:25" x14ac:dyDescent="0.2">
      <c r="O178" s="9" t="s">
        <v>19</v>
      </c>
      <c r="P178" s="50" t="s">
        <v>280</v>
      </c>
      <c r="Q178" s="50" t="s">
        <v>32</v>
      </c>
      <c r="R178" s="9">
        <v>10</v>
      </c>
      <c r="S178" s="47">
        <f>INDEX('Master (Filled)'!$Z$8:$Z$37,MATCH(Q178,'Master (Filled)'!$Y$8:$Y$37,0))</f>
        <v>25500</v>
      </c>
      <c r="T178" s="119">
        <f t="shared" si="9"/>
        <v>0.03</v>
      </c>
      <c r="U178" s="47">
        <f t="shared" si="10"/>
        <v>254235</v>
      </c>
      <c r="V178" s="50" t="s">
        <v>280</v>
      </c>
      <c r="W178" s="124">
        <f t="shared" si="11"/>
        <v>755</v>
      </c>
      <c r="X178" s="124">
        <f>SUMIF(Table1316[Category],Table1417[[#This Row],[Category]],Table1316[[Quantity ]])</f>
        <v>241</v>
      </c>
      <c r="Y178" s="124">
        <f>Table1417[[#This Row],[Inventory]]-Table1417[[#This Row],[Update ]]</f>
        <v>514</v>
      </c>
    </row>
    <row r="179" spans="15:25" x14ac:dyDescent="0.2">
      <c r="O179" s="9" t="s">
        <v>31</v>
      </c>
      <c r="P179" s="50" t="s">
        <v>280</v>
      </c>
      <c r="Q179" s="50" t="s">
        <v>32</v>
      </c>
      <c r="R179" s="9">
        <v>9</v>
      </c>
      <c r="S179" s="47">
        <f>INDEX('Master (Filled)'!$Z$8:$Z$37,MATCH(Q179,'Master (Filled)'!$Y$8:$Y$37,0))</f>
        <v>25500</v>
      </c>
      <c r="T179" s="119">
        <f t="shared" si="9"/>
        <v>0.03</v>
      </c>
      <c r="U179" s="47">
        <f t="shared" si="10"/>
        <v>228735</v>
      </c>
      <c r="V179" s="50" t="s">
        <v>280</v>
      </c>
      <c r="W179" s="124">
        <f t="shared" si="11"/>
        <v>755</v>
      </c>
      <c r="X179" s="124">
        <f>SUMIF(Table1316[Category],Table1417[[#This Row],[Category]],Table1316[[Quantity ]])</f>
        <v>241</v>
      </c>
      <c r="Y179" s="124">
        <f>Table1417[[#This Row],[Inventory]]-Table1417[[#This Row],[Update ]]</f>
        <v>514</v>
      </c>
    </row>
    <row r="180" spans="15:25" x14ac:dyDescent="0.2">
      <c r="O180" s="9" t="s">
        <v>36</v>
      </c>
      <c r="P180" s="50" t="s">
        <v>278</v>
      </c>
      <c r="Q180" s="50" t="s">
        <v>41</v>
      </c>
      <c r="R180" s="9">
        <v>5</v>
      </c>
      <c r="S180" s="47">
        <f>INDEX('Master (Filled)'!$Z$8:$Z$37,MATCH(Q180,'Master (Filled)'!$Y$8:$Y$37,0))</f>
        <v>85500</v>
      </c>
      <c r="T180" s="119">
        <f t="shared" si="9"/>
        <v>0.02</v>
      </c>
      <c r="U180" s="47">
        <f t="shared" si="10"/>
        <v>425790</v>
      </c>
      <c r="V180" s="50" t="s">
        <v>278</v>
      </c>
      <c r="W180" s="124">
        <f t="shared" si="11"/>
        <v>755</v>
      </c>
      <c r="X180" s="124">
        <f>SUMIF(Table1316[Category],Table1417[[#This Row],[Category]],Table1316[[Quantity ]])</f>
        <v>299</v>
      </c>
      <c r="Y180" s="124">
        <f>Table1417[[#This Row],[Inventory]]-Table1417[[#This Row],[Update ]]</f>
        <v>456</v>
      </c>
    </row>
    <row r="181" spans="15:25" x14ac:dyDescent="0.2">
      <c r="O181" s="9" t="s">
        <v>40</v>
      </c>
      <c r="P181" s="50" t="s">
        <v>278</v>
      </c>
      <c r="Q181" s="50" t="s">
        <v>104</v>
      </c>
      <c r="R181" s="9">
        <v>7</v>
      </c>
      <c r="S181" s="47">
        <f>INDEX('Master (Filled)'!$Z$8:$Z$37,MATCH(Q181,'Master (Filled)'!$Y$8:$Y$37,0))</f>
        <v>225000</v>
      </c>
      <c r="T181" s="119">
        <f t="shared" si="9"/>
        <v>0.02</v>
      </c>
      <c r="U181" s="47">
        <f t="shared" si="10"/>
        <v>1570500</v>
      </c>
      <c r="V181" s="50" t="s">
        <v>278</v>
      </c>
      <c r="W181" s="124">
        <f t="shared" si="11"/>
        <v>755</v>
      </c>
      <c r="X181" s="124">
        <f>SUMIF(Table1316[Category],Table1417[[#This Row],[Category]],Table1316[[Quantity ]])</f>
        <v>299</v>
      </c>
      <c r="Y181" s="124">
        <f>Table1417[[#This Row],[Inventory]]-Table1417[[#This Row],[Update ]]</f>
        <v>456</v>
      </c>
    </row>
    <row r="182" spans="15:25" x14ac:dyDescent="0.2">
      <c r="O182" s="9" t="s">
        <v>40</v>
      </c>
      <c r="P182" s="50" t="s">
        <v>278</v>
      </c>
      <c r="Q182" s="50" t="s">
        <v>104</v>
      </c>
      <c r="R182" s="9">
        <v>7</v>
      </c>
      <c r="S182" s="47">
        <f>INDEX('Master (Filled)'!$Z$8:$Z$37,MATCH(Q182,'Master (Filled)'!$Y$8:$Y$37,0))</f>
        <v>225000</v>
      </c>
      <c r="T182" s="119">
        <f t="shared" si="9"/>
        <v>0.02</v>
      </c>
      <c r="U182" s="47">
        <f t="shared" si="10"/>
        <v>1570500</v>
      </c>
      <c r="V182" s="50" t="s">
        <v>278</v>
      </c>
      <c r="W182" s="124">
        <f t="shared" si="11"/>
        <v>755</v>
      </c>
      <c r="X182" s="124">
        <f>SUMIF(Table1316[Category],Table1417[[#This Row],[Category]],Table1316[[Quantity ]])</f>
        <v>299</v>
      </c>
      <c r="Y182" s="124">
        <f>Table1417[[#This Row],[Inventory]]-Table1417[[#This Row],[Update ]]</f>
        <v>456</v>
      </c>
    </row>
    <row r="183" spans="15:25" x14ac:dyDescent="0.2">
      <c r="O183" s="9" t="s">
        <v>46</v>
      </c>
      <c r="P183" s="50" t="s">
        <v>278</v>
      </c>
      <c r="Q183" s="50" t="s">
        <v>104</v>
      </c>
      <c r="R183" s="9">
        <v>7</v>
      </c>
      <c r="S183" s="47">
        <f>INDEX('Master (Filled)'!$Z$8:$Z$37,MATCH(Q183,'Master (Filled)'!$Y$8:$Y$37,0))</f>
        <v>225000</v>
      </c>
      <c r="T183" s="119">
        <f t="shared" si="9"/>
        <v>0.02</v>
      </c>
      <c r="U183" s="47">
        <f t="shared" si="10"/>
        <v>1570500</v>
      </c>
      <c r="V183" s="50" t="s">
        <v>278</v>
      </c>
      <c r="W183" s="124">
        <f t="shared" si="11"/>
        <v>755</v>
      </c>
      <c r="X183" s="124">
        <f>SUMIF(Table1316[Category],Table1417[[#This Row],[Category]],Table1316[[Quantity ]])</f>
        <v>299</v>
      </c>
      <c r="Y183" s="124">
        <f>Table1417[[#This Row],[Inventory]]-Table1417[[#This Row],[Update ]]</f>
        <v>456</v>
      </c>
    </row>
    <row r="184" spans="15:25" x14ac:dyDescent="0.2">
      <c r="O184" s="9" t="s">
        <v>36</v>
      </c>
      <c r="P184" s="50" t="s">
        <v>278</v>
      </c>
      <c r="Q184" s="50" t="s">
        <v>41</v>
      </c>
      <c r="R184" s="9">
        <v>8</v>
      </c>
      <c r="S184" s="47">
        <f>INDEX('Master (Filled)'!$Z$8:$Z$37,MATCH(Q184,'Master (Filled)'!$Y$8:$Y$37,0))</f>
        <v>85500</v>
      </c>
      <c r="T184" s="119">
        <f t="shared" si="9"/>
        <v>0.02</v>
      </c>
      <c r="U184" s="47">
        <f t="shared" si="10"/>
        <v>682290</v>
      </c>
      <c r="V184" s="50" t="s">
        <v>278</v>
      </c>
      <c r="W184" s="124">
        <f t="shared" si="11"/>
        <v>755</v>
      </c>
      <c r="X184" s="124">
        <f>SUMIF(Table1316[Category],Table1417[[#This Row],[Category]],Table1316[[Quantity ]])</f>
        <v>299</v>
      </c>
      <c r="Y184" s="124">
        <f>Table1417[[#This Row],[Inventory]]-Table1417[[#This Row],[Update ]]</f>
        <v>456</v>
      </c>
    </row>
    <row r="185" spans="15:25" x14ac:dyDescent="0.2">
      <c r="O185" s="9"/>
      <c r="P185" s="50"/>
      <c r="Q185" s="50"/>
      <c r="R185" s="9">
        <f>SUM(R5:R184)</f>
        <v>1100</v>
      </c>
      <c r="S185" s="47"/>
      <c r="T185" s="119"/>
      <c r="U185" s="47">
        <f>SUM(U5:U184)</f>
        <v>104827888.20999999</v>
      </c>
    </row>
    <row r="186" spans="15:25" x14ac:dyDescent="0.2">
      <c r="U186" s="47">
        <f>AVERAGE(U5:U184)</f>
        <v>582377.15672222222</v>
      </c>
    </row>
    <row r="189" spans="15:25" x14ac:dyDescent="0.2">
      <c r="P189" s="120" t="s">
        <v>375</v>
      </c>
      <c r="Q189" s="121">
        <f>COUNTIF(P5:P184,P14)</f>
        <v>53</v>
      </c>
    </row>
    <row r="190" spans="15:25" x14ac:dyDescent="0.2">
      <c r="P190" s="120" t="s">
        <v>278</v>
      </c>
      <c r="Q190" s="121">
        <f>COUNTIF(P5:P184,P10)</f>
        <v>47</v>
      </c>
    </row>
    <row r="191" spans="15:25" x14ac:dyDescent="0.2">
      <c r="P191" s="120" t="s">
        <v>282</v>
      </c>
      <c r="Q191" s="123">
        <f>COUNTIF(P5:P184,P162)</f>
        <v>34</v>
      </c>
    </row>
    <row r="192" spans="15:25" x14ac:dyDescent="0.2">
      <c r="P192" s="120" t="s">
        <v>280</v>
      </c>
      <c r="Q192" s="122">
        <f>COUNTIF(P5:P184,P5)</f>
        <v>46</v>
      </c>
    </row>
  </sheetData>
  <mergeCells count="14">
    <mergeCell ref="D19:E19"/>
    <mergeCell ref="F22:H22"/>
    <mergeCell ref="G29:H29"/>
    <mergeCell ref="A3:C3"/>
    <mergeCell ref="A13:D13"/>
    <mergeCell ref="C8:D8"/>
    <mergeCell ref="C9:E9"/>
    <mergeCell ref="F17:G17"/>
    <mergeCell ref="F44:G44"/>
    <mergeCell ref="I35:K35"/>
    <mergeCell ref="I36:K36"/>
    <mergeCell ref="A22:B22"/>
    <mergeCell ref="C26:E26"/>
    <mergeCell ref="C29:D29"/>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2B02-ECC3-904D-BCF5-893126B32AC4}">
  <dimension ref="A1:G181"/>
  <sheetViews>
    <sheetView zoomScale="99" workbookViewId="0"/>
  </sheetViews>
  <sheetFormatPr baseColWidth="10" defaultRowHeight="16" x14ac:dyDescent="0.2"/>
  <cols>
    <col min="4" max="4" width="23.5" customWidth="1"/>
    <col min="5" max="5" width="20.5" customWidth="1"/>
    <col min="6" max="6" width="23.6640625" customWidth="1"/>
  </cols>
  <sheetData>
    <row r="1" spans="1:7" ht="34" x14ac:dyDescent="0.2">
      <c r="A1" s="20" t="s">
        <v>1</v>
      </c>
      <c r="B1" s="20" t="s">
        <v>10</v>
      </c>
      <c r="C1" s="20" t="s">
        <v>12</v>
      </c>
      <c r="D1" s="20" t="s">
        <v>14</v>
      </c>
      <c r="E1" s="20" t="s">
        <v>328</v>
      </c>
      <c r="F1" s="20" t="s">
        <v>338</v>
      </c>
      <c r="G1" s="20" t="s">
        <v>383</v>
      </c>
    </row>
    <row r="2" spans="1:7" x14ac:dyDescent="0.2">
      <c r="A2" s="23">
        <v>44959</v>
      </c>
      <c r="B2" s="25">
        <v>5</v>
      </c>
      <c r="C2" s="33">
        <f>IF(A2&gt;8,3%,2%)</f>
        <v>0.03</v>
      </c>
      <c r="D2" s="26">
        <f>'Master (Filled)'!O4</f>
        <v>248995.02</v>
      </c>
      <c r="E2" s="26">
        <f t="shared" ref="E2:E33" si="0">(A2*B2)-(B2*C2)</f>
        <v>224794.85</v>
      </c>
      <c r="F2" s="26">
        <v>8000</v>
      </c>
      <c r="G2" s="26">
        <v>11000</v>
      </c>
    </row>
    <row r="3" spans="1:7" x14ac:dyDescent="0.2">
      <c r="A3" s="23">
        <v>44959</v>
      </c>
      <c r="B3" s="25">
        <v>8</v>
      </c>
      <c r="C3" s="33">
        <f>IF(A3&gt;8,3%,2%)</f>
        <v>0.03</v>
      </c>
      <c r="D3" s="26">
        <f>'Master (Filled)'!O5</f>
        <v>558592.02</v>
      </c>
      <c r="E3" s="26">
        <f t="shared" si="0"/>
        <v>359671.76</v>
      </c>
      <c r="F3" s="26">
        <v>8000</v>
      </c>
      <c r="G3" s="26">
        <v>11000</v>
      </c>
    </row>
    <row r="4" spans="1:7" x14ac:dyDescent="0.2">
      <c r="A4" s="23">
        <v>44959</v>
      </c>
      <c r="B4" s="25">
        <v>8</v>
      </c>
      <c r="C4" s="33">
        <f>IF(A4&gt;8,3%,2%)</f>
        <v>0.03</v>
      </c>
      <c r="D4" s="26">
        <f>'Master (Filled)'!O6</f>
        <v>398992.02</v>
      </c>
      <c r="E4" s="26">
        <f t="shared" si="0"/>
        <v>359671.76</v>
      </c>
      <c r="F4" s="26">
        <v>8000</v>
      </c>
      <c r="G4" s="26">
        <v>11000</v>
      </c>
    </row>
    <row r="5" spans="1:7" x14ac:dyDescent="0.2">
      <c r="A5" s="23">
        <v>44959</v>
      </c>
      <c r="B5" s="25">
        <v>2</v>
      </c>
      <c r="C5" s="32">
        <f>IF(A5&gt;8,3%,2%)</f>
        <v>0.03</v>
      </c>
      <c r="D5" s="26">
        <f>'Master (Filled)'!O7</f>
        <v>50490</v>
      </c>
      <c r="E5" s="26">
        <f t="shared" si="0"/>
        <v>89917.94</v>
      </c>
      <c r="F5" s="26">
        <v>8000</v>
      </c>
      <c r="G5" s="26">
        <v>11000</v>
      </c>
    </row>
    <row r="6" spans="1:7" x14ac:dyDescent="0.2">
      <c r="A6" s="23">
        <v>44959</v>
      </c>
      <c r="B6" s="25">
        <v>2</v>
      </c>
      <c r="C6" s="32">
        <f t="shared" ref="C6:C69" si="1">IF(A6&gt;8,3%,2%)</f>
        <v>0.03</v>
      </c>
      <c r="D6" s="26">
        <f>'Master (Filled)'!O8</f>
        <v>386100</v>
      </c>
      <c r="E6" s="26">
        <f t="shared" si="0"/>
        <v>89917.94</v>
      </c>
      <c r="F6" s="26">
        <v>8000</v>
      </c>
      <c r="G6" s="26">
        <v>11000</v>
      </c>
    </row>
    <row r="7" spans="1:7" x14ac:dyDescent="0.2">
      <c r="A7" s="23">
        <v>44959</v>
      </c>
      <c r="B7" s="25">
        <v>2</v>
      </c>
      <c r="C7" s="32">
        <f t="shared" si="1"/>
        <v>0.03</v>
      </c>
      <c r="D7" s="26">
        <f>'Master (Filled)'!O9</f>
        <v>169290</v>
      </c>
      <c r="E7" s="26">
        <f t="shared" si="0"/>
        <v>89917.94</v>
      </c>
      <c r="F7" s="26">
        <v>8000</v>
      </c>
      <c r="G7" s="26">
        <v>11000</v>
      </c>
    </row>
    <row r="8" spans="1:7" x14ac:dyDescent="0.2">
      <c r="A8" s="23">
        <v>44959</v>
      </c>
      <c r="B8" s="25">
        <v>3</v>
      </c>
      <c r="C8" s="32">
        <f t="shared" si="1"/>
        <v>0.03</v>
      </c>
      <c r="D8" s="26">
        <f>'Master (Filled)'!O10</f>
        <v>254790</v>
      </c>
      <c r="E8" s="26">
        <f t="shared" si="0"/>
        <v>134876.91</v>
      </c>
      <c r="F8" s="26">
        <v>8000</v>
      </c>
      <c r="G8" s="26">
        <v>11000</v>
      </c>
    </row>
    <row r="9" spans="1:7" x14ac:dyDescent="0.2">
      <c r="A9" s="23">
        <v>44960</v>
      </c>
      <c r="B9" s="25">
        <v>4</v>
      </c>
      <c r="C9" s="32">
        <f t="shared" si="1"/>
        <v>0.03</v>
      </c>
      <c r="D9" s="26">
        <f>'Master (Filled)'!O11</f>
        <v>776100</v>
      </c>
      <c r="E9" s="26">
        <f t="shared" si="0"/>
        <v>179839.88</v>
      </c>
      <c r="F9" s="26">
        <v>8000</v>
      </c>
      <c r="G9" s="26">
        <v>11000</v>
      </c>
    </row>
    <row r="10" spans="1:7" x14ac:dyDescent="0.2">
      <c r="A10" s="23">
        <v>44960</v>
      </c>
      <c r="B10" s="25">
        <v>4</v>
      </c>
      <c r="C10" s="32">
        <f t="shared" si="1"/>
        <v>0.03</v>
      </c>
      <c r="D10" s="26">
        <f>'Master (Filled)'!O12</f>
        <v>776100</v>
      </c>
      <c r="E10" s="26">
        <f t="shared" si="0"/>
        <v>179839.88</v>
      </c>
      <c r="F10" s="26">
        <v>8000</v>
      </c>
      <c r="G10" s="26">
        <v>11000</v>
      </c>
    </row>
    <row r="11" spans="1:7" x14ac:dyDescent="0.2">
      <c r="A11" s="23">
        <v>44960</v>
      </c>
      <c r="B11" s="25">
        <v>2</v>
      </c>
      <c r="C11" s="32">
        <f t="shared" si="1"/>
        <v>0.03</v>
      </c>
      <c r="D11" s="26">
        <f>'Master (Filled)'!O13</f>
        <v>168300</v>
      </c>
      <c r="E11" s="26">
        <f t="shared" si="0"/>
        <v>89919.94</v>
      </c>
      <c r="F11" s="26">
        <v>8000</v>
      </c>
      <c r="G11" s="26">
        <v>11000</v>
      </c>
    </row>
    <row r="12" spans="1:7" x14ac:dyDescent="0.2">
      <c r="A12" s="23">
        <v>44960</v>
      </c>
      <c r="B12" s="25">
        <v>3</v>
      </c>
      <c r="C12" s="32">
        <f t="shared" si="1"/>
        <v>0.03</v>
      </c>
      <c r="D12" s="26">
        <f>'Master (Filled)'!O14</f>
        <v>253300</v>
      </c>
      <c r="E12" s="26">
        <f t="shared" si="0"/>
        <v>134879.91</v>
      </c>
      <c r="F12" s="26">
        <v>8000</v>
      </c>
      <c r="G12" s="26">
        <v>11000</v>
      </c>
    </row>
    <row r="13" spans="1:7" x14ac:dyDescent="0.2">
      <c r="A13" s="23">
        <v>44960</v>
      </c>
      <c r="B13" s="25">
        <v>2</v>
      </c>
      <c r="C13" s="32">
        <f t="shared" si="1"/>
        <v>0.03</v>
      </c>
      <c r="D13" s="26">
        <f>'Master (Filled)'!O15</f>
        <v>168300</v>
      </c>
      <c r="E13" s="26">
        <f t="shared" si="0"/>
        <v>89919.94</v>
      </c>
      <c r="F13" s="26">
        <v>8000</v>
      </c>
      <c r="G13" s="26">
        <v>11000</v>
      </c>
    </row>
    <row r="14" spans="1:7" x14ac:dyDescent="0.2">
      <c r="A14" s="23">
        <v>44960</v>
      </c>
      <c r="B14" s="25">
        <v>2</v>
      </c>
      <c r="C14" s="32">
        <f t="shared" si="1"/>
        <v>0.03</v>
      </c>
      <c r="D14" s="26">
        <f>'Master (Filled)'!O16</f>
        <v>148500</v>
      </c>
      <c r="E14" s="26">
        <f t="shared" si="0"/>
        <v>89919.94</v>
      </c>
      <c r="F14" s="26">
        <v>8000</v>
      </c>
      <c r="G14" s="26">
        <v>11000</v>
      </c>
    </row>
    <row r="15" spans="1:7" x14ac:dyDescent="0.2">
      <c r="A15" s="23">
        <v>44960</v>
      </c>
      <c r="B15" s="25">
        <v>3</v>
      </c>
      <c r="C15" s="32">
        <f t="shared" si="1"/>
        <v>0.03</v>
      </c>
      <c r="D15" s="26">
        <f>'Master (Filled)'!O17</f>
        <v>253300</v>
      </c>
      <c r="E15" s="26">
        <f t="shared" si="0"/>
        <v>134879.91</v>
      </c>
      <c r="F15" s="26">
        <v>8000</v>
      </c>
      <c r="G15" s="26">
        <v>11000</v>
      </c>
    </row>
    <row r="16" spans="1:7" x14ac:dyDescent="0.2">
      <c r="A16" s="23">
        <v>44960</v>
      </c>
      <c r="B16" s="25">
        <v>3</v>
      </c>
      <c r="C16" s="32">
        <f t="shared" si="1"/>
        <v>0.03</v>
      </c>
      <c r="D16" s="26">
        <f>'Master (Filled)'!O18</f>
        <v>253300</v>
      </c>
      <c r="E16" s="26">
        <f t="shared" si="0"/>
        <v>134879.91</v>
      </c>
      <c r="F16" s="26">
        <v>8000</v>
      </c>
      <c r="G16" s="26">
        <v>11000</v>
      </c>
    </row>
    <row r="17" spans="1:7" x14ac:dyDescent="0.2">
      <c r="A17" s="23">
        <v>44960</v>
      </c>
      <c r="B17" s="25">
        <v>7</v>
      </c>
      <c r="C17" s="32">
        <f t="shared" si="1"/>
        <v>0.03</v>
      </c>
      <c r="D17" s="26">
        <f>'Master (Filled)'!O19</f>
        <v>593300</v>
      </c>
      <c r="E17" s="26">
        <f t="shared" si="0"/>
        <v>314719.78999999998</v>
      </c>
      <c r="F17" s="26">
        <v>8000</v>
      </c>
      <c r="G17" s="26">
        <v>11000</v>
      </c>
    </row>
    <row r="18" spans="1:7" x14ac:dyDescent="0.2">
      <c r="A18" s="23">
        <v>44960</v>
      </c>
      <c r="B18" s="25">
        <v>8</v>
      </c>
      <c r="C18" s="32">
        <f t="shared" si="1"/>
        <v>0.03</v>
      </c>
      <c r="D18" s="26">
        <f>'Master (Filled)'!O20</f>
        <v>881790</v>
      </c>
      <c r="E18" s="26">
        <f t="shared" si="0"/>
        <v>359679.76</v>
      </c>
      <c r="F18" s="26">
        <v>8000</v>
      </c>
      <c r="G18" s="26">
        <v>11000</v>
      </c>
    </row>
    <row r="19" spans="1:7" x14ac:dyDescent="0.2">
      <c r="A19" s="23">
        <v>44961</v>
      </c>
      <c r="B19" s="25">
        <v>12</v>
      </c>
      <c r="C19" s="32">
        <f t="shared" si="1"/>
        <v>0.03</v>
      </c>
      <c r="D19" s="26">
        <f>'Master (Filled)'!O21</f>
        <v>897750</v>
      </c>
      <c r="E19" s="26">
        <f t="shared" si="0"/>
        <v>539531.64</v>
      </c>
      <c r="F19" s="26">
        <v>8000</v>
      </c>
      <c r="G19" s="26">
        <v>11000</v>
      </c>
    </row>
    <row r="20" spans="1:7" x14ac:dyDescent="0.2">
      <c r="A20" s="23">
        <v>44961</v>
      </c>
      <c r="B20" s="25">
        <v>12</v>
      </c>
      <c r="C20" s="32">
        <f t="shared" si="1"/>
        <v>0.03</v>
      </c>
      <c r="D20" s="26">
        <f>'Master (Filled)'!O22</f>
        <v>1621935</v>
      </c>
      <c r="E20" s="26">
        <f t="shared" si="0"/>
        <v>539531.64</v>
      </c>
      <c r="F20" s="26">
        <v>8000</v>
      </c>
      <c r="G20" s="26">
        <v>11000</v>
      </c>
    </row>
    <row r="21" spans="1:7" x14ac:dyDescent="0.2">
      <c r="A21" s="23">
        <v>44961</v>
      </c>
      <c r="B21" s="25">
        <v>11</v>
      </c>
      <c r="C21" s="32">
        <f t="shared" si="1"/>
        <v>0.03</v>
      </c>
      <c r="D21" s="26">
        <f>'Master (Filled)'!O23</f>
        <v>1486435</v>
      </c>
      <c r="E21" s="26">
        <f t="shared" si="0"/>
        <v>494570.67</v>
      </c>
      <c r="F21" s="26">
        <v>8000</v>
      </c>
      <c r="G21" s="26">
        <v>11000</v>
      </c>
    </row>
    <row r="22" spans="1:7" x14ac:dyDescent="0.2">
      <c r="A22" s="23">
        <v>44962</v>
      </c>
      <c r="B22" s="25">
        <v>9</v>
      </c>
      <c r="C22" s="32">
        <f t="shared" si="1"/>
        <v>0.03</v>
      </c>
      <c r="D22" s="26">
        <f>'Master (Filled)'!O24</f>
        <v>497835</v>
      </c>
      <c r="E22" s="26">
        <f t="shared" si="0"/>
        <v>404657.73</v>
      </c>
      <c r="F22" s="26">
        <v>8000</v>
      </c>
      <c r="G22" s="26">
        <v>11000</v>
      </c>
    </row>
    <row r="23" spans="1:7" x14ac:dyDescent="0.2">
      <c r="A23" s="23">
        <v>44962</v>
      </c>
      <c r="B23" s="25">
        <v>9</v>
      </c>
      <c r="C23" s="32">
        <f t="shared" si="1"/>
        <v>0.03</v>
      </c>
      <c r="D23" s="26">
        <f>'Master (Filled)'!O25</f>
        <v>762450</v>
      </c>
      <c r="E23" s="26">
        <f t="shared" si="0"/>
        <v>404657.73</v>
      </c>
      <c r="F23" s="26">
        <v>8000</v>
      </c>
      <c r="G23" s="26">
        <v>11000</v>
      </c>
    </row>
    <row r="24" spans="1:7" x14ac:dyDescent="0.2">
      <c r="A24" s="23">
        <v>44962</v>
      </c>
      <c r="B24" s="25">
        <v>5</v>
      </c>
      <c r="C24" s="32">
        <f t="shared" si="1"/>
        <v>0.03</v>
      </c>
      <c r="D24" s="26">
        <f>'Master (Filled)'!O26</f>
        <v>771900</v>
      </c>
      <c r="E24" s="26">
        <f t="shared" si="0"/>
        <v>224809.85</v>
      </c>
      <c r="F24" s="26">
        <v>8000</v>
      </c>
      <c r="G24" s="26">
        <v>11000</v>
      </c>
    </row>
    <row r="25" spans="1:7" x14ac:dyDescent="0.2">
      <c r="A25" s="23">
        <v>44962</v>
      </c>
      <c r="B25" s="25">
        <v>4</v>
      </c>
      <c r="C25" s="32">
        <f t="shared" si="1"/>
        <v>0.03</v>
      </c>
      <c r="D25" s="26">
        <f>'Master (Filled)'!O27</f>
        <v>218900</v>
      </c>
      <c r="E25" s="26">
        <f t="shared" si="0"/>
        <v>179847.88</v>
      </c>
      <c r="F25" s="26">
        <v>8000</v>
      </c>
      <c r="G25" s="26">
        <v>11000</v>
      </c>
    </row>
    <row r="26" spans="1:7" x14ac:dyDescent="0.2">
      <c r="A26" s="23">
        <v>44962</v>
      </c>
      <c r="B26" s="25">
        <v>3</v>
      </c>
      <c r="C26" s="32">
        <f t="shared" si="1"/>
        <v>0.03</v>
      </c>
      <c r="D26" s="26">
        <f>'Master (Filled)'!O28</f>
        <v>461900</v>
      </c>
      <c r="E26" s="26">
        <f t="shared" si="0"/>
        <v>134885.91</v>
      </c>
      <c r="F26" s="26">
        <v>8000</v>
      </c>
      <c r="G26" s="26">
        <v>11000</v>
      </c>
    </row>
    <row r="27" spans="1:7" x14ac:dyDescent="0.2">
      <c r="A27" s="23">
        <v>44962</v>
      </c>
      <c r="B27" s="25">
        <v>2</v>
      </c>
      <c r="C27" s="32">
        <f t="shared" si="1"/>
        <v>0.03</v>
      </c>
      <c r="D27" s="26">
        <f>'Master (Filled)'!O29</f>
        <v>108900</v>
      </c>
      <c r="E27" s="26">
        <f t="shared" si="0"/>
        <v>89923.94</v>
      </c>
      <c r="F27" s="26">
        <v>8000</v>
      </c>
      <c r="G27" s="26">
        <v>11000</v>
      </c>
    </row>
    <row r="28" spans="1:7" x14ac:dyDescent="0.2">
      <c r="A28" s="23">
        <v>44962</v>
      </c>
      <c r="B28" s="25">
        <v>3</v>
      </c>
      <c r="C28" s="32">
        <f t="shared" si="1"/>
        <v>0.03</v>
      </c>
      <c r="D28" s="26">
        <f>'Master (Filled)'!O30</f>
        <v>551300</v>
      </c>
      <c r="E28" s="26">
        <f t="shared" si="0"/>
        <v>134885.91</v>
      </c>
      <c r="F28" s="26">
        <v>8000</v>
      </c>
      <c r="G28" s="26">
        <v>11000</v>
      </c>
    </row>
    <row r="29" spans="1:7" x14ac:dyDescent="0.2">
      <c r="A29" s="23">
        <v>44962</v>
      </c>
      <c r="B29" s="25">
        <v>3</v>
      </c>
      <c r="C29" s="32">
        <f t="shared" si="1"/>
        <v>0.03</v>
      </c>
      <c r="D29" s="26">
        <f>'Master (Filled)'!O31</f>
        <v>506600</v>
      </c>
      <c r="E29" s="26">
        <f t="shared" si="0"/>
        <v>134885.91</v>
      </c>
      <c r="F29" s="26">
        <v>8000</v>
      </c>
      <c r="G29" s="26">
        <v>11000</v>
      </c>
    </row>
    <row r="30" spans="1:7" x14ac:dyDescent="0.2">
      <c r="A30" s="23">
        <v>44962</v>
      </c>
      <c r="B30" s="25">
        <v>3</v>
      </c>
      <c r="C30" s="32">
        <f t="shared" si="1"/>
        <v>0.03</v>
      </c>
      <c r="D30" s="26">
        <f>'Master (Filled)'!O32</f>
        <v>670500</v>
      </c>
      <c r="E30" s="26">
        <f t="shared" si="0"/>
        <v>134885.91</v>
      </c>
      <c r="F30" s="26">
        <v>8000</v>
      </c>
      <c r="G30" s="26">
        <v>11000</v>
      </c>
    </row>
    <row r="31" spans="1:7" x14ac:dyDescent="0.2">
      <c r="A31" s="23">
        <v>44962</v>
      </c>
      <c r="B31" s="25">
        <v>2</v>
      </c>
      <c r="C31" s="32">
        <f t="shared" si="1"/>
        <v>0.03</v>
      </c>
      <c r="D31" s="26">
        <f>'Master (Filled)'!O33</f>
        <v>90090</v>
      </c>
      <c r="E31" s="26">
        <f t="shared" si="0"/>
        <v>89923.94</v>
      </c>
      <c r="F31" s="26">
        <v>8000</v>
      </c>
      <c r="G31" s="26">
        <v>11000</v>
      </c>
    </row>
    <row r="32" spans="1:7" x14ac:dyDescent="0.2">
      <c r="A32" s="23">
        <v>44962</v>
      </c>
      <c r="B32" s="25">
        <v>2</v>
      </c>
      <c r="C32" s="32">
        <f t="shared" si="1"/>
        <v>0.03</v>
      </c>
      <c r="D32" s="26">
        <f>'Master (Filled)'!O34</f>
        <v>445500</v>
      </c>
      <c r="E32" s="26">
        <f t="shared" si="0"/>
        <v>89923.94</v>
      </c>
      <c r="F32" s="26">
        <v>8000</v>
      </c>
      <c r="G32" s="26">
        <v>11000</v>
      </c>
    </row>
    <row r="33" spans="1:7" x14ac:dyDescent="0.2">
      <c r="A33" s="23">
        <v>44962</v>
      </c>
      <c r="B33" s="25">
        <v>4</v>
      </c>
      <c r="C33" s="32">
        <f t="shared" si="1"/>
        <v>0.03</v>
      </c>
      <c r="D33" s="26">
        <f>'Master (Filled)'!O35</f>
        <v>181090</v>
      </c>
      <c r="E33" s="26">
        <f t="shared" si="0"/>
        <v>179847.88</v>
      </c>
      <c r="F33" s="26">
        <v>8000</v>
      </c>
      <c r="G33" s="26">
        <v>11000</v>
      </c>
    </row>
    <row r="34" spans="1:7" x14ac:dyDescent="0.2">
      <c r="A34" s="23">
        <v>44962</v>
      </c>
      <c r="B34" s="25">
        <v>4</v>
      </c>
      <c r="C34" s="32">
        <f t="shared" si="1"/>
        <v>0.03</v>
      </c>
      <c r="D34" s="26">
        <f>'Master (Filled)'!O36</f>
        <v>181308.9</v>
      </c>
      <c r="E34" s="26">
        <f t="shared" ref="E34:E65" si="2">(A34*B34)-(B34*C34)</f>
        <v>179847.88</v>
      </c>
      <c r="F34" s="26">
        <v>8000</v>
      </c>
      <c r="G34" s="26">
        <v>11000</v>
      </c>
    </row>
    <row r="35" spans="1:7" x14ac:dyDescent="0.2">
      <c r="A35" s="23">
        <v>44962</v>
      </c>
      <c r="B35" s="25">
        <v>5</v>
      </c>
      <c r="C35" s="32">
        <f t="shared" si="1"/>
        <v>0.03</v>
      </c>
      <c r="D35" s="26">
        <f>'Master (Filled)'!O37</f>
        <v>126990</v>
      </c>
      <c r="E35" s="26">
        <f t="shared" si="2"/>
        <v>224809.85</v>
      </c>
      <c r="F35" s="26">
        <v>8000</v>
      </c>
      <c r="G35" s="26">
        <v>11000</v>
      </c>
    </row>
    <row r="36" spans="1:7" x14ac:dyDescent="0.2">
      <c r="A36" s="23">
        <v>44962</v>
      </c>
      <c r="B36" s="25">
        <v>5</v>
      </c>
      <c r="C36" s="32">
        <f t="shared" si="1"/>
        <v>0.03</v>
      </c>
      <c r="D36" s="26">
        <f>'Master (Filled)'!O38</f>
        <v>126990</v>
      </c>
      <c r="E36" s="26">
        <f t="shared" si="2"/>
        <v>224809.85</v>
      </c>
      <c r="F36" s="26">
        <v>8000</v>
      </c>
      <c r="G36" s="26">
        <v>11000</v>
      </c>
    </row>
    <row r="37" spans="1:7" x14ac:dyDescent="0.2">
      <c r="A37" s="23">
        <v>44962</v>
      </c>
      <c r="B37" s="25">
        <v>7</v>
      </c>
      <c r="C37" s="32">
        <f t="shared" si="1"/>
        <v>0.03</v>
      </c>
      <c r="D37" s="26">
        <f>'Master (Filled)'!O39</f>
        <v>628193.02</v>
      </c>
      <c r="E37" s="26">
        <f t="shared" si="2"/>
        <v>314733.78999999998</v>
      </c>
      <c r="F37" s="26">
        <v>8000</v>
      </c>
      <c r="G37" s="26">
        <v>11000</v>
      </c>
    </row>
    <row r="38" spans="1:7" x14ac:dyDescent="0.2">
      <c r="A38" s="23">
        <v>44963</v>
      </c>
      <c r="B38" s="25">
        <v>8</v>
      </c>
      <c r="C38" s="32">
        <f t="shared" si="1"/>
        <v>0.03</v>
      </c>
      <c r="D38" s="26">
        <f>'Master (Filled)'!O40</f>
        <v>718192.02</v>
      </c>
      <c r="E38" s="26">
        <f t="shared" si="2"/>
        <v>359703.76</v>
      </c>
      <c r="F38" s="26">
        <v>8000</v>
      </c>
      <c r="G38" s="26">
        <v>11000</v>
      </c>
    </row>
    <row r="39" spans="1:7" x14ac:dyDescent="0.2">
      <c r="A39" s="23">
        <v>44963</v>
      </c>
      <c r="B39" s="25">
        <v>8</v>
      </c>
      <c r="C39" s="32">
        <f t="shared" si="1"/>
        <v>0.03</v>
      </c>
      <c r="D39" s="26">
        <f>'Master (Filled)'!O41</f>
        <v>718192.02</v>
      </c>
      <c r="E39" s="26">
        <f t="shared" si="2"/>
        <v>359703.76</v>
      </c>
      <c r="F39" s="26">
        <v>8000</v>
      </c>
      <c r="G39" s="26">
        <v>11000</v>
      </c>
    </row>
    <row r="40" spans="1:7" x14ac:dyDescent="0.2">
      <c r="A40" s="23">
        <v>44963</v>
      </c>
      <c r="B40" s="25">
        <v>7</v>
      </c>
      <c r="C40" s="32">
        <f t="shared" si="1"/>
        <v>0.03</v>
      </c>
      <c r="D40" s="26">
        <f>'Master (Filled)'!O42</f>
        <v>177990</v>
      </c>
      <c r="E40" s="26">
        <f t="shared" si="2"/>
        <v>314740.78999999998</v>
      </c>
      <c r="F40" s="26">
        <v>8000</v>
      </c>
      <c r="G40" s="26">
        <v>11000</v>
      </c>
    </row>
    <row r="41" spans="1:7" x14ac:dyDescent="0.2">
      <c r="A41" s="23">
        <v>44963</v>
      </c>
      <c r="B41" s="25">
        <v>7</v>
      </c>
      <c r="C41" s="32">
        <f t="shared" si="1"/>
        <v>0.03</v>
      </c>
      <c r="D41" s="26">
        <f>'Master (Filled)'!O43</f>
        <v>177990</v>
      </c>
      <c r="E41" s="26">
        <f t="shared" si="2"/>
        <v>314740.78999999998</v>
      </c>
      <c r="F41" s="26">
        <v>8000</v>
      </c>
      <c r="G41" s="26">
        <v>11000</v>
      </c>
    </row>
    <row r="42" spans="1:7" x14ac:dyDescent="0.2">
      <c r="A42" s="23">
        <v>44963</v>
      </c>
      <c r="B42" s="25">
        <v>5</v>
      </c>
      <c r="C42" s="32">
        <f t="shared" si="1"/>
        <v>0.03</v>
      </c>
      <c r="D42" s="26">
        <f>'Master (Filled)'!O44</f>
        <v>126990</v>
      </c>
      <c r="E42" s="26">
        <f t="shared" si="2"/>
        <v>224814.85</v>
      </c>
      <c r="F42" s="26">
        <v>8000</v>
      </c>
      <c r="G42" s="26">
        <v>11000</v>
      </c>
    </row>
    <row r="43" spans="1:7" x14ac:dyDescent="0.2">
      <c r="A43" s="23">
        <v>44963</v>
      </c>
      <c r="B43" s="25">
        <v>4</v>
      </c>
      <c r="C43" s="32">
        <f t="shared" si="1"/>
        <v>0.03</v>
      </c>
      <c r="D43" s="26">
        <f>'Master (Filled)'!O45</f>
        <v>101490</v>
      </c>
      <c r="E43" s="26">
        <f t="shared" si="2"/>
        <v>179851.88</v>
      </c>
      <c r="F43" s="26">
        <v>8000</v>
      </c>
      <c r="G43" s="26">
        <v>11000</v>
      </c>
    </row>
    <row r="44" spans="1:7" x14ac:dyDescent="0.2">
      <c r="A44" s="23">
        <v>44964</v>
      </c>
      <c r="B44" s="25">
        <v>6</v>
      </c>
      <c r="C44" s="32">
        <f t="shared" si="1"/>
        <v>0.03</v>
      </c>
      <c r="D44" s="26">
        <f>'Master (Filled)'!O46</f>
        <v>660790</v>
      </c>
      <c r="E44" s="26">
        <f t="shared" si="2"/>
        <v>269783.82</v>
      </c>
      <c r="F44" s="26">
        <v>8000</v>
      </c>
      <c r="G44" s="26">
        <v>11000</v>
      </c>
    </row>
    <row r="45" spans="1:7" x14ac:dyDescent="0.2">
      <c r="A45" s="23">
        <v>44964</v>
      </c>
      <c r="B45" s="25">
        <v>8</v>
      </c>
      <c r="C45" s="32">
        <f t="shared" si="1"/>
        <v>0.03</v>
      </c>
      <c r="D45" s="26">
        <f>'Master (Filled)'!O47</f>
        <v>1081290</v>
      </c>
      <c r="E45" s="26">
        <f t="shared" si="2"/>
        <v>359711.76</v>
      </c>
      <c r="F45" s="26">
        <v>8000</v>
      </c>
      <c r="G45" s="26">
        <v>11000</v>
      </c>
    </row>
    <row r="46" spans="1:7" x14ac:dyDescent="0.2">
      <c r="A46" s="23">
        <v>44964</v>
      </c>
      <c r="B46" s="25">
        <v>8</v>
      </c>
      <c r="C46" s="32">
        <f t="shared" si="1"/>
        <v>0.03</v>
      </c>
      <c r="D46" s="26">
        <f>'Master (Filled)'!O48</f>
        <v>1396500</v>
      </c>
      <c r="E46" s="26">
        <f t="shared" si="2"/>
        <v>359711.76</v>
      </c>
      <c r="F46" s="26">
        <v>8000</v>
      </c>
      <c r="G46" s="26">
        <v>11000</v>
      </c>
    </row>
    <row r="47" spans="1:7" x14ac:dyDescent="0.2">
      <c r="A47" s="23">
        <v>44964</v>
      </c>
      <c r="B47" s="25">
        <v>9</v>
      </c>
      <c r="C47" s="32">
        <f t="shared" si="1"/>
        <v>0.03</v>
      </c>
      <c r="D47" s="26">
        <f>'Master (Filled)'!O49</f>
        <v>583050</v>
      </c>
      <c r="E47" s="26">
        <f t="shared" si="2"/>
        <v>404675.73</v>
      </c>
      <c r="F47" s="26">
        <v>8000</v>
      </c>
      <c r="G47" s="26">
        <v>11000</v>
      </c>
    </row>
    <row r="48" spans="1:7" x14ac:dyDescent="0.2">
      <c r="A48" s="23">
        <v>44964</v>
      </c>
      <c r="B48" s="25">
        <v>11</v>
      </c>
      <c r="C48" s="32">
        <f t="shared" si="1"/>
        <v>0.03</v>
      </c>
      <c r="D48" s="26">
        <f>'Master (Filled)'!O50</f>
        <v>713050</v>
      </c>
      <c r="E48" s="26">
        <f t="shared" si="2"/>
        <v>494603.67</v>
      </c>
      <c r="F48" s="26">
        <v>8000</v>
      </c>
      <c r="G48" s="26">
        <v>11000</v>
      </c>
    </row>
    <row r="49" spans="1:7" x14ac:dyDescent="0.2">
      <c r="A49" s="23">
        <v>44964</v>
      </c>
      <c r="B49" s="25">
        <v>10</v>
      </c>
      <c r="C49" s="32">
        <f t="shared" si="1"/>
        <v>0.03</v>
      </c>
      <c r="D49" s="26">
        <f>'Master (Filled)'!O51</f>
        <v>897300</v>
      </c>
      <c r="E49" s="26">
        <f t="shared" si="2"/>
        <v>449639.7</v>
      </c>
      <c r="F49" s="26">
        <v>8000</v>
      </c>
      <c r="G49" s="26">
        <v>11000</v>
      </c>
    </row>
    <row r="50" spans="1:7" x14ac:dyDescent="0.2">
      <c r="A50" s="23">
        <v>44964</v>
      </c>
      <c r="B50" s="25">
        <v>9</v>
      </c>
      <c r="C50" s="32">
        <f t="shared" si="1"/>
        <v>0.03</v>
      </c>
      <c r="D50" s="26">
        <f>'Master (Filled)'!O52</f>
        <v>852150</v>
      </c>
      <c r="E50" s="26">
        <f t="shared" si="2"/>
        <v>404675.73</v>
      </c>
      <c r="F50" s="26">
        <v>8000</v>
      </c>
      <c r="G50" s="26">
        <v>11000</v>
      </c>
    </row>
    <row r="51" spans="1:7" x14ac:dyDescent="0.2">
      <c r="A51" s="23">
        <v>44965</v>
      </c>
      <c r="B51" s="25">
        <v>5</v>
      </c>
      <c r="C51" s="32">
        <f t="shared" si="1"/>
        <v>0.03</v>
      </c>
      <c r="D51" s="26">
        <f>'Master (Filled)'!O53</f>
        <v>473100</v>
      </c>
      <c r="E51" s="26">
        <f t="shared" si="2"/>
        <v>224824.85</v>
      </c>
      <c r="F51" s="26">
        <v>8000</v>
      </c>
      <c r="G51" s="26">
        <v>11000</v>
      </c>
    </row>
    <row r="52" spans="1:7" x14ac:dyDescent="0.2">
      <c r="A52" s="23">
        <v>44965</v>
      </c>
      <c r="B52" s="25">
        <v>5</v>
      </c>
      <c r="C52" s="32">
        <f t="shared" si="1"/>
        <v>0.03</v>
      </c>
      <c r="D52" s="26">
        <f>'Master (Filled)'!O54</f>
        <v>473100</v>
      </c>
      <c r="E52" s="26">
        <f t="shared" si="2"/>
        <v>224824.85</v>
      </c>
      <c r="F52" s="26">
        <v>8000</v>
      </c>
      <c r="G52" s="26">
        <v>11000</v>
      </c>
    </row>
    <row r="53" spans="1:7" x14ac:dyDescent="0.2">
      <c r="A53" s="23">
        <v>44965</v>
      </c>
      <c r="B53" s="25">
        <v>3</v>
      </c>
      <c r="C53" s="32">
        <f t="shared" si="1"/>
        <v>0.03</v>
      </c>
      <c r="D53" s="26">
        <f>'Master (Filled)'!O55</f>
        <v>342700</v>
      </c>
      <c r="E53" s="26">
        <f t="shared" si="2"/>
        <v>134894.91</v>
      </c>
      <c r="F53" s="26">
        <v>8000</v>
      </c>
      <c r="G53" s="26">
        <v>11000</v>
      </c>
    </row>
    <row r="54" spans="1:7" x14ac:dyDescent="0.2">
      <c r="A54" s="23">
        <v>44965</v>
      </c>
      <c r="B54" s="25">
        <v>2</v>
      </c>
      <c r="C54" s="32">
        <f t="shared" si="1"/>
        <v>0.03</v>
      </c>
      <c r="D54" s="26">
        <f>'Master (Filled)'!O56</f>
        <v>227700</v>
      </c>
      <c r="E54" s="26">
        <f t="shared" si="2"/>
        <v>89929.94</v>
      </c>
      <c r="F54" s="26">
        <v>8000</v>
      </c>
      <c r="G54" s="26">
        <v>11000</v>
      </c>
    </row>
    <row r="55" spans="1:7" x14ac:dyDescent="0.2">
      <c r="A55" s="23">
        <v>44965</v>
      </c>
      <c r="B55" s="25">
        <v>2</v>
      </c>
      <c r="C55" s="32">
        <f t="shared" si="1"/>
        <v>0.03</v>
      </c>
      <c r="D55" s="26">
        <f>'Master (Filled)'!O57</f>
        <v>90198.9</v>
      </c>
      <c r="E55" s="26">
        <f t="shared" si="2"/>
        <v>89929.94</v>
      </c>
      <c r="F55" s="26">
        <v>8000</v>
      </c>
      <c r="G55" s="26">
        <v>11000</v>
      </c>
    </row>
    <row r="56" spans="1:7" x14ac:dyDescent="0.2">
      <c r="A56" s="23">
        <v>44965</v>
      </c>
      <c r="B56" s="25">
        <v>2</v>
      </c>
      <c r="C56" s="32">
        <f t="shared" si="1"/>
        <v>0.03</v>
      </c>
      <c r="D56" s="26">
        <f>'Master (Filled)'!O58</f>
        <v>90198.9</v>
      </c>
      <c r="E56" s="26">
        <f t="shared" si="2"/>
        <v>89929.94</v>
      </c>
      <c r="F56" s="26">
        <v>8000</v>
      </c>
      <c r="G56" s="26">
        <v>11000</v>
      </c>
    </row>
    <row r="57" spans="1:7" x14ac:dyDescent="0.2">
      <c r="A57" s="23">
        <v>44965</v>
      </c>
      <c r="B57" s="25">
        <v>4</v>
      </c>
      <c r="C57" s="32">
        <f t="shared" si="1"/>
        <v>0.03</v>
      </c>
      <c r="D57" s="26">
        <f>'Master (Filled)'!O59</f>
        <v>895500</v>
      </c>
      <c r="E57" s="26">
        <f t="shared" si="2"/>
        <v>179859.88</v>
      </c>
      <c r="F57" s="26">
        <v>8000</v>
      </c>
      <c r="G57" s="26">
        <v>11000</v>
      </c>
    </row>
    <row r="58" spans="1:7" x14ac:dyDescent="0.2">
      <c r="A58" s="23">
        <v>44965</v>
      </c>
      <c r="B58" s="25">
        <v>5</v>
      </c>
      <c r="C58" s="32">
        <f t="shared" si="1"/>
        <v>0.03</v>
      </c>
      <c r="D58" s="26">
        <f>'Master (Filled)'!O60</f>
        <v>971100</v>
      </c>
      <c r="E58" s="26">
        <f t="shared" si="2"/>
        <v>224824.85</v>
      </c>
      <c r="F58" s="26">
        <v>8000</v>
      </c>
      <c r="G58" s="26">
        <v>11000</v>
      </c>
    </row>
    <row r="59" spans="1:7" x14ac:dyDescent="0.2">
      <c r="A59" s="23">
        <v>44965</v>
      </c>
      <c r="B59" s="25">
        <v>5</v>
      </c>
      <c r="C59" s="32">
        <f t="shared" si="1"/>
        <v>0.03</v>
      </c>
      <c r="D59" s="26">
        <f>'Master (Filled)'!O61</f>
        <v>971100</v>
      </c>
      <c r="E59" s="26">
        <f t="shared" si="2"/>
        <v>224824.85</v>
      </c>
      <c r="F59" s="26">
        <v>8000</v>
      </c>
      <c r="G59" s="26">
        <v>11000</v>
      </c>
    </row>
    <row r="60" spans="1:7" x14ac:dyDescent="0.2">
      <c r="A60" s="23">
        <v>44965</v>
      </c>
      <c r="B60" s="25">
        <v>7</v>
      </c>
      <c r="C60" s="32">
        <f t="shared" si="1"/>
        <v>0.03</v>
      </c>
      <c r="D60" s="26">
        <f>'Master (Filled)'!O62</f>
        <v>1361100</v>
      </c>
      <c r="E60" s="26">
        <f t="shared" si="2"/>
        <v>314754.78999999998</v>
      </c>
      <c r="F60" s="26">
        <v>8000</v>
      </c>
      <c r="G60" s="26">
        <v>11000</v>
      </c>
    </row>
    <row r="61" spans="1:7" x14ac:dyDescent="0.2">
      <c r="A61" s="23">
        <v>44965</v>
      </c>
      <c r="B61" s="25">
        <v>7</v>
      </c>
      <c r="C61" s="32">
        <f t="shared" si="1"/>
        <v>0.03</v>
      </c>
      <c r="D61" s="26">
        <f>'Master (Filled)'!O63</f>
        <v>1570500</v>
      </c>
      <c r="E61" s="26">
        <f t="shared" si="2"/>
        <v>314754.78999999998</v>
      </c>
      <c r="F61" s="26">
        <v>8000</v>
      </c>
      <c r="G61" s="26">
        <v>11000</v>
      </c>
    </row>
    <row r="62" spans="1:7" x14ac:dyDescent="0.2">
      <c r="A62" s="23">
        <v>44965</v>
      </c>
      <c r="B62" s="25">
        <v>7</v>
      </c>
      <c r="C62" s="32">
        <f t="shared" si="1"/>
        <v>0.03</v>
      </c>
      <c r="D62" s="26">
        <f>'Master (Filled)'!O64</f>
        <v>872500</v>
      </c>
      <c r="E62" s="26">
        <f t="shared" si="2"/>
        <v>314754.78999999998</v>
      </c>
      <c r="F62" s="26">
        <v>8000</v>
      </c>
      <c r="G62" s="26">
        <v>11000</v>
      </c>
    </row>
    <row r="63" spans="1:7" x14ac:dyDescent="0.2">
      <c r="A63" s="23">
        <v>44966</v>
      </c>
      <c r="B63" s="25">
        <v>8</v>
      </c>
      <c r="C63" s="32">
        <f t="shared" si="1"/>
        <v>0.03</v>
      </c>
      <c r="D63" s="26">
        <f>'Master (Filled)'!O65</f>
        <v>1476300</v>
      </c>
      <c r="E63" s="26">
        <f t="shared" si="2"/>
        <v>359727.76</v>
      </c>
      <c r="F63" s="26">
        <v>8000</v>
      </c>
      <c r="G63" s="26">
        <v>11000</v>
      </c>
    </row>
    <row r="64" spans="1:7" x14ac:dyDescent="0.2">
      <c r="A64" s="23">
        <v>44966</v>
      </c>
      <c r="B64" s="25">
        <v>8</v>
      </c>
      <c r="C64" s="32">
        <f t="shared" si="1"/>
        <v>0.03</v>
      </c>
      <c r="D64" s="26">
        <f>'Master (Filled)'!O66</f>
        <v>1476300</v>
      </c>
      <c r="E64" s="26">
        <f t="shared" si="2"/>
        <v>359727.76</v>
      </c>
      <c r="F64" s="26">
        <v>8000</v>
      </c>
      <c r="G64" s="26">
        <v>11000</v>
      </c>
    </row>
    <row r="65" spans="1:7" x14ac:dyDescent="0.2">
      <c r="A65" s="23">
        <v>44966</v>
      </c>
      <c r="B65" s="25">
        <v>9</v>
      </c>
      <c r="C65" s="32">
        <f t="shared" si="1"/>
        <v>0.03</v>
      </c>
      <c r="D65" s="26">
        <f>'Master (Filled)'!O67</f>
        <v>672750</v>
      </c>
      <c r="E65" s="26">
        <f t="shared" si="2"/>
        <v>404693.73</v>
      </c>
      <c r="F65" s="26">
        <v>8000</v>
      </c>
      <c r="G65" s="26">
        <v>11000</v>
      </c>
    </row>
    <row r="66" spans="1:7" x14ac:dyDescent="0.2">
      <c r="A66" s="23">
        <v>44966</v>
      </c>
      <c r="B66" s="25">
        <v>12</v>
      </c>
      <c r="C66" s="32">
        <f t="shared" si="1"/>
        <v>0.03</v>
      </c>
      <c r="D66" s="26">
        <f>'Master (Filled)'!O68</f>
        <v>544635</v>
      </c>
      <c r="E66" s="26">
        <f t="shared" ref="E66:E97" si="3">(A66*B66)-(B66*C66)</f>
        <v>539591.64</v>
      </c>
      <c r="F66" s="26">
        <v>8000</v>
      </c>
      <c r="G66" s="26">
        <v>11000</v>
      </c>
    </row>
    <row r="67" spans="1:7" x14ac:dyDescent="0.2">
      <c r="A67" s="23">
        <v>44966</v>
      </c>
      <c r="B67" s="25">
        <v>11</v>
      </c>
      <c r="C67" s="32">
        <f t="shared" si="1"/>
        <v>0.03</v>
      </c>
      <c r="D67" s="26">
        <f>'Master (Filled)'!O69</f>
        <v>937935</v>
      </c>
      <c r="E67" s="26">
        <f t="shared" si="3"/>
        <v>494625.67</v>
      </c>
      <c r="F67" s="26">
        <v>8000</v>
      </c>
      <c r="G67" s="26">
        <v>11000</v>
      </c>
    </row>
    <row r="68" spans="1:7" x14ac:dyDescent="0.2">
      <c r="A68" s="23">
        <v>44966</v>
      </c>
      <c r="B68" s="25">
        <v>11</v>
      </c>
      <c r="C68" s="32">
        <f t="shared" si="1"/>
        <v>0.03</v>
      </c>
      <c r="D68" s="26">
        <f>'Master (Filled)'!O70</f>
        <v>499135</v>
      </c>
      <c r="E68" s="26">
        <f t="shared" si="3"/>
        <v>494625.67</v>
      </c>
      <c r="F68" s="26">
        <v>8000</v>
      </c>
      <c r="G68" s="26">
        <v>11000</v>
      </c>
    </row>
    <row r="69" spans="1:7" x14ac:dyDescent="0.2">
      <c r="A69" s="23">
        <v>44966</v>
      </c>
      <c r="B69" s="25">
        <v>15</v>
      </c>
      <c r="C69" s="32">
        <f t="shared" si="1"/>
        <v>0.03</v>
      </c>
      <c r="D69" s="26">
        <f>'Master (Filled)'!O71</f>
        <v>681135</v>
      </c>
      <c r="E69" s="26">
        <f t="shared" si="3"/>
        <v>674489.55</v>
      </c>
      <c r="F69" s="26">
        <v>8000</v>
      </c>
      <c r="G69" s="26">
        <v>11000</v>
      </c>
    </row>
    <row r="70" spans="1:7" x14ac:dyDescent="0.2">
      <c r="A70" s="23">
        <v>44967</v>
      </c>
      <c r="B70" s="25">
        <v>13</v>
      </c>
      <c r="C70" s="32">
        <f t="shared" ref="C70:C133" si="4">IF(A70&gt;8,3%,2%)</f>
        <v>0.03</v>
      </c>
      <c r="D70" s="26">
        <f>'Master (Filled)'!O72</f>
        <v>1108935</v>
      </c>
      <c r="E70" s="26">
        <f t="shared" si="3"/>
        <v>584570.61</v>
      </c>
      <c r="F70" s="26">
        <v>8000</v>
      </c>
      <c r="G70" s="26">
        <v>11000</v>
      </c>
    </row>
    <row r="71" spans="1:7" x14ac:dyDescent="0.2">
      <c r="A71" s="23">
        <v>44967</v>
      </c>
      <c r="B71" s="25">
        <v>2</v>
      </c>
      <c r="C71" s="32">
        <f t="shared" si="4"/>
        <v>0.03</v>
      </c>
      <c r="D71" s="26">
        <f>'Master (Filled)'!O73</f>
        <v>108900</v>
      </c>
      <c r="E71" s="26">
        <f t="shared" si="3"/>
        <v>89933.94</v>
      </c>
      <c r="F71" s="26">
        <v>8000</v>
      </c>
      <c r="G71" s="26">
        <v>11000</v>
      </c>
    </row>
    <row r="72" spans="1:7" x14ac:dyDescent="0.2">
      <c r="A72" s="23">
        <v>44967</v>
      </c>
      <c r="B72" s="25">
        <v>2</v>
      </c>
      <c r="C72" s="32">
        <f t="shared" si="4"/>
        <v>0.03</v>
      </c>
      <c r="D72" s="26">
        <f>'Master (Filled)'!O74</f>
        <v>108900</v>
      </c>
      <c r="E72" s="26">
        <f t="shared" si="3"/>
        <v>89933.94</v>
      </c>
      <c r="F72" s="26">
        <v>8000</v>
      </c>
      <c r="G72" s="26">
        <v>11000</v>
      </c>
    </row>
    <row r="73" spans="1:7" x14ac:dyDescent="0.2">
      <c r="A73" s="23">
        <v>44967</v>
      </c>
      <c r="B73" s="25">
        <v>2</v>
      </c>
      <c r="C73" s="32">
        <f t="shared" si="4"/>
        <v>0.03</v>
      </c>
      <c r="D73" s="26">
        <f>'Master (Filled)'!O75</f>
        <v>138600</v>
      </c>
      <c r="E73" s="26">
        <f t="shared" si="3"/>
        <v>89933.94</v>
      </c>
      <c r="F73" s="26">
        <v>8000</v>
      </c>
      <c r="G73" s="26">
        <v>11000</v>
      </c>
    </row>
    <row r="74" spans="1:7" x14ac:dyDescent="0.2">
      <c r="A74" s="23">
        <v>44967</v>
      </c>
      <c r="B74" s="25">
        <v>3</v>
      </c>
      <c r="C74" s="32">
        <f t="shared" si="4"/>
        <v>0.03</v>
      </c>
      <c r="D74" s="26">
        <f>'Master (Filled)'!O76</f>
        <v>223500</v>
      </c>
      <c r="E74" s="26">
        <f t="shared" si="3"/>
        <v>134900.91</v>
      </c>
      <c r="F74" s="26">
        <v>8000</v>
      </c>
      <c r="G74" s="26">
        <v>11000</v>
      </c>
    </row>
    <row r="75" spans="1:7" x14ac:dyDescent="0.2">
      <c r="A75" s="23">
        <v>44967</v>
      </c>
      <c r="B75" s="25">
        <v>4</v>
      </c>
      <c r="C75" s="32">
        <f t="shared" si="4"/>
        <v>0.03</v>
      </c>
      <c r="D75" s="26">
        <f>'Master (Filled)'!O77</f>
        <v>338300</v>
      </c>
      <c r="E75" s="26">
        <f t="shared" si="3"/>
        <v>179867.88</v>
      </c>
      <c r="F75" s="26">
        <v>8000</v>
      </c>
      <c r="G75" s="26">
        <v>11000</v>
      </c>
    </row>
    <row r="76" spans="1:7" x14ac:dyDescent="0.2">
      <c r="A76" s="23">
        <v>44967</v>
      </c>
      <c r="B76" s="25">
        <v>5</v>
      </c>
      <c r="C76" s="32">
        <f t="shared" si="4"/>
        <v>0.03</v>
      </c>
      <c r="D76" s="26">
        <f>'Master (Filled)'!O78</f>
        <v>373500</v>
      </c>
      <c r="E76" s="26">
        <f t="shared" si="3"/>
        <v>224834.85</v>
      </c>
      <c r="F76" s="26">
        <v>8000</v>
      </c>
      <c r="G76" s="26">
        <v>11000</v>
      </c>
    </row>
    <row r="77" spans="1:7" x14ac:dyDescent="0.2">
      <c r="A77" s="23">
        <v>44967</v>
      </c>
      <c r="B77" s="25">
        <v>6</v>
      </c>
      <c r="C77" s="32">
        <f t="shared" si="4"/>
        <v>0.03</v>
      </c>
      <c r="D77" s="26">
        <f>'Master (Filled)'!O79</f>
        <v>660790</v>
      </c>
      <c r="E77" s="26">
        <f t="shared" si="3"/>
        <v>269801.82</v>
      </c>
      <c r="F77" s="26">
        <v>8000</v>
      </c>
      <c r="G77" s="26">
        <v>11000</v>
      </c>
    </row>
    <row r="78" spans="1:7" x14ac:dyDescent="0.2">
      <c r="A78" s="23">
        <v>44967</v>
      </c>
      <c r="B78" s="25">
        <v>10</v>
      </c>
      <c r="C78" s="32">
        <f t="shared" si="4"/>
        <v>0.03</v>
      </c>
      <c r="D78" s="26">
        <f>'Master (Filled)'!O80</f>
        <v>847450</v>
      </c>
      <c r="E78" s="26">
        <f t="shared" si="3"/>
        <v>449669.7</v>
      </c>
      <c r="F78" s="26">
        <v>8000</v>
      </c>
      <c r="G78" s="26">
        <v>11000</v>
      </c>
    </row>
    <row r="79" spans="1:7" x14ac:dyDescent="0.2">
      <c r="A79" s="23">
        <v>44968</v>
      </c>
      <c r="B79" s="25">
        <v>9</v>
      </c>
      <c r="C79" s="32">
        <f t="shared" si="4"/>
        <v>0.03</v>
      </c>
      <c r="D79" s="26">
        <f>'Master (Filled)'!O81</f>
        <v>672750</v>
      </c>
      <c r="E79" s="26">
        <f t="shared" si="3"/>
        <v>404711.73</v>
      </c>
      <c r="F79" s="26">
        <v>8000</v>
      </c>
      <c r="G79" s="26">
        <v>11000</v>
      </c>
    </row>
    <row r="80" spans="1:7" x14ac:dyDescent="0.2">
      <c r="A80" s="23">
        <v>44968</v>
      </c>
      <c r="B80" s="25">
        <v>5</v>
      </c>
      <c r="C80" s="32">
        <f t="shared" si="4"/>
        <v>0.03</v>
      </c>
      <c r="D80" s="26">
        <f>'Master (Filled)'!O82</f>
        <v>550290</v>
      </c>
      <c r="E80" s="26">
        <f t="shared" si="3"/>
        <v>224839.85</v>
      </c>
      <c r="F80" s="26">
        <v>8000</v>
      </c>
      <c r="G80" s="26">
        <v>11000</v>
      </c>
    </row>
    <row r="81" spans="1:7" x14ac:dyDescent="0.2">
      <c r="A81" s="23">
        <v>44968</v>
      </c>
      <c r="B81" s="25">
        <v>5</v>
      </c>
      <c r="C81" s="32">
        <f t="shared" si="4"/>
        <v>0.03</v>
      </c>
      <c r="D81" s="26">
        <f>'Master (Filled)'!O83</f>
        <v>550290</v>
      </c>
      <c r="E81" s="26">
        <f t="shared" si="3"/>
        <v>224839.85</v>
      </c>
      <c r="F81" s="26">
        <v>8000</v>
      </c>
      <c r="G81" s="26">
        <v>11000</v>
      </c>
    </row>
    <row r="82" spans="1:7" x14ac:dyDescent="0.2">
      <c r="A82" s="23">
        <v>44968</v>
      </c>
      <c r="B82" s="25">
        <v>3</v>
      </c>
      <c r="C82" s="32">
        <f t="shared" si="4"/>
        <v>0.03</v>
      </c>
      <c r="D82" s="26">
        <f>'Master (Filled)'!O84</f>
        <v>223500</v>
      </c>
      <c r="E82" s="26">
        <f t="shared" si="3"/>
        <v>134903.91</v>
      </c>
      <c r="F82" s="26">
        <v>8000</v>
      </c>
      <c r="G82" s="26">
        <v>11000</v>
      </c>
    </row>
    <row r="83" spans="1:7" x14ac:dyDescent="0.2">
      <c r="A83" s="23">
        <v>44969</v>
      </c>
      <c r="B83" s="25">
        <v>2</v>
      </c>
      <c r="C83" s="32">
        <f t="shared" si="4"/>
        <v>0.03</v>
      </c>
      <c r="D83" s="26">
        <f>'Master (Filled)'!O85</f>
        <v>178198.02</v>
      </c>
      <c r="E83" s="26">
        <f t="shared" si="3"/>
        <v>89937.94</v>
      </c>
      <c r="F83" s="26">
        <v>8000</v>
      </c>
      <c r="G83" s="26">
        <v>11000</v>
      </c>
    </row>
    <row r="84" spans="1:7" x14ac:dyDescent="0.2">
      <c r="A84" s="23">
        <v>44969</v>
      </c>
      <c r="B84" s="25">
        <v>2</v>
      </c>
      <c r="C84" s="32">
        <f t="shared" si="4"/>
        <v>0.03</v>
      </c>
      <c r="D84" s="26">
        <f>'Master (Filled)'!O86</f>
        <v>138598.01999999999</v>
      </c>
      <c r="E84" s="26">
        <f t="shared" si="3"/>
        <v>89937.94</v>
      </c>
      <c r="F84" s="26">
        <v>8000</v>
      </c>
      <c r="G84" s="26">
        <v>11000</v>
      </c>
    </row>
    <row r="85" spans="1:7" x14ac:dyDescent="0.2">
      <c r="A85" s="23">
        <v>44969</v>
      </c>
      <c r="B85" s="25">
        <v>2</v>
      </c>
      <c r="C85" s="32">
        <f t="shared" si="4"/>
        <v>0.03</v>
      </c>
      <c r="D85" s="26">
        <f>'Master (Filled)'!O87</f>
        <v>138598.01999999999</v>
      </c>
      <c r="E85" s="26">
        <f t="shared" si="3"/>
        <v>89937.94</v>
      </c>
      <c r="F85" s="26">
        <v>8000</v>
      </c>
      <c r="G85" s="26">
        <v>11000</v>
      </c>
    </row>
    <row r="86" spans="1:7" x14ac:dyDescent="0.2">
      <c r="A86" s="23">
        <v>44969</v>
      </c>
      <c r="B86" s="25">
        <v>4</v>
      </c>
      <c r="C86" s="32">
        <f t="shared" si="4"/>
        <v>0.03</v>
      </c>
      <c r="D86" s="26">
        <f>'Master (Filled)'!O88</f>
        <v>198996.02</v>
      </c>
      <c r="E86" s="26">
        <f t="shared" si="3"/>
        <v>179875.88</v>
      </c>
      <c r="F86" s="26">
        <v>8000</v>
      </c>
      <c r="G86" s="26">
        <v>11000</v>
      </c>
    </row>
    <row r="87" spans="1:7" x14ac:dyDescent="0.2">
      <c r="A87" s="23">
        <v>44969</v>
      </c>
      <c r="B87" s="25">
        <v>5</v>
      </c>
      <c r="C87" s="32">
        <f t="shared" si="4"/>
        <v>0.03</v>
      </c>
      <c r="D87" s="26">
        <f>'Master (Filled)'!O89</f>
        <v>425790</v>
      </c>
      <c r="E87" s="26">
        <f t="shared" si="3"/>
        <v>224844.85</v>
      </c>
      <c r="F87" s="26">
        <v>8000</v>
      </c>
      <c r="G87" s="26">
        <v>11000</v>
      </c>
    </row>
    <row r="88" spans="1:7" x14ac:dyDescent="0.2">
      <c r="A88" s="23">
        <v>44970</v>
      </c>
      <c r="B88" s="25">
        <v>5</v>
      </c>
      <c r="C88" s="32">
        <f t="shared" si="4"/>
        <v>0.03</v>
      </c>
      <c r="D88" s="26">
        <f>'Master (Filled)'!O90</f>
        <v>425790</v>
      </c>
      <c r="E88" s="26">
        <f t="shared" si="3"/>
        <v>224849.85</v>
      </c>
      <c r="F88" s="26">
        <v>8000</v>
      </c>
      <c r="G88" s="26">
        <v>11000</v>
      </c>
    </row>
    <row r="89" spans="1:7" x14ac:dyDescent="0.2">
      <c r="A89" s="23">
        <v>44970</v>
      </c>
      <c r="B89" s="25">
        <v>7</v>
      </c>
      <c r="C89" s="32">
        <f t="shared" si="4"/>
        <v>0.03</v>
      </c>
      <c r="D89" s="26">
        <f>'Master (Filled)'!O91</f>
        <v>523500</v>
      </c>
      <c r="E89" s="26">
        <f t="shared" si="3"/>
        <v>314789.78999999998</v>
      </c>
      <c r="F89" s="26">
        <v>8000</v>
      </c>
      <c r="G89" s="26">
        <v>11000</v>
      </c>
    </row>
    <row r="90" spans="1:7" x14ac:dyDescent="0.2">
      <c r="A90" s="23">
        <v>44970</v>
      </c>
      <c r="B90" s="25">
        <v>7</v>
      </c>
      <c r="C90" s="32">
        <f t="shared" si="4"/>
        <v>0.03</v>
      </c>
      <c r="D90" s="26">
        <f>'Master (Filled)'!O92</f>
        <v>488593.02</v>
      </c>
      <c r="E90" s="26">
        <f t="shared" si="3"/>
        <v>314789.78999999998</v>
      </c>
      <c r="F90" s="26">
        <v>8000</v>
      </c>
      <c r="G90" s="26">
        <v>11000</v>
      </c>
    </row>
    <row r="91" spans="1:7" x14ac:dyDescent="0.2">
      <c r="A91" s="23">
        <v>44970</v>
      </c>
      <c r="B91" s="25">
        <v>7</v>
      </c>
      <c r="C91" s="32">
        <f t="shared" si="4"/>
        <v>0.03</v>
      </c>
      <c r="D91" s="26">
        <f>'Master (Filled)'!O93</f>
        <v>596790</v>
      </c>
      <c r="E91" s="26">
        <f t="shared" si="3"/>
        <v>314789.78999999998</v>
      </c>
      <c r="F91" s="26">
        <v>8000</v>
      </c>
      <c r="G91" s="26">
        <v>11000</v>
      </c>
    </row>
    <row r="92" spans="1:7" x14ac:dyDescent="0.2">
      <c r="A92" s="23">
        <v>44970</v>
      </c>
      <c r="B92" s="25">
        <v>8</v>
      </c>
      <c r="C92" s="32">
        <f t="shared" si="4"/>
        <v>0.03</v>
      </c>
      <c r="D92" s="26">
        <f>'Master (Filled)'!O94</f>
        <v>682290</v>
      </c>
      <c r="E92" s="26">
        <f t="shared" si="3"/>
        <v>359759.76</v>
      </c>
      <c r="F92" s="26">
        <v>8000</v>
      </c>
      <c r="G92" s="26">
        <v>11000</v>
      </c>
    </row>
    <row r="93" spans="1:7" x14ac:dyDescent="0.2">
      <c r="A93" s="23">
        <v>44970</v>
      </c>
      <c r="B93" s="25">
        <v>8</v>
      </c>
      <c r="C93" s="32">
        <f t="shared" si="4"/>
        <v>0.03</v>
      </c>
      <c r="D93" s="26">
        <f>'Master (Filled)'!O95</f>
        <v>718192.02</v>
      </c>
      <c r="E93" s="26">
        <f t="shared" si="3"/>
        <v>359759.76</v>
      </c>
      <c r="F93" s="26">
        <v>8000</v>
      </c>
      <c r="G93" s="26">
        <v>11000</v>
      </c>
    </row>
    <row r="94" spans="1:7" x14ac:dyDescent="0.2">
      <c r="A94" s="23">
        <v>44971</v>
      </c>
      <c r="B94" s="25">
        <v>9</v>
      </c>
      <c r="C94" s="32">
        <f t="shared" si="4"/>
        <v>0.03</v>
      </c>
      <c r="D94" s="26">
        <f>'Master (Filled)'!O96</f>
        <v>1749150</v>
      </c>
      <c r="E94" s="26">
        <f t="shared" si="3"/>
        <v>404738.73</v>
      </c>
      <c r="F94" s="26">
        <v>8000</v>
      </c>
      <c r="G94" s="26">
        <v>11000</v>
      </c>
    </row>
    <row r="95" spans="1:7" x14ac:dyDescent="0.2">
      <c r="A95" s="23">
        <v>44971</v>
      </c>
      <c r="B95" s="25">
        <v>12</v>
      </c>
      <c r="C95" s="32">
        <f t="shared" si="4"/>
        <v>0.03</v>
      </c>
      <c r="D95" s="26">
        <f>'Master (Filled)'!O97</f>
        <v>2334150</v>
      </c>
      <c r="E95" s="26">
        <f t="shared" si="3"/>
        <v>539651.64</v>
      </c>
      <c r="F95" s="26">
        <v>8000</v>
      </c>
      <c r="G95" s="26">
        <v>11000</v>
      </c>
    </row>
    <row r="96" spans="1:7" x14ac:dyDescent="0.2">
      <c r="A96" s="23">
        <v>44971</v>
      </c>
      <c r="B96" s="25">
        <v>11</v>
      </c>
      <c r="C96" s="32">
        <f t="shared" si="4"/>
        <v>0.03</v>
      </c>
      <c r="D96" s="26">
        <f>'Master (Filled)'!O98</f>
        <v>987289.03</v>
      </c>
      <c r="E96" s="26">
        <f t="shared" si="3"/>
        <v>494680.67</v>
      </c>
      <c r="F96" s="26">
        <v>8000</v>
      </c>
      <c r="G96" s="26">
        <v>11000</v>
      </c>
    </row>
    <row r="97" spans="1:7" x14ac:dyDescent="0.2">
      <c r="A97" s="23">
        <v>44971</v>
      </c>
      <c r="B97" s="25">
        <v>3</v>
      </c>
      <c r="C97" s="32">
        <f t="shared" si="4"/>
        <v>0.03</v>
      </c>
      <c r="D97" s="26">
        <f>'Master (Filled)'!O99</f>
        <v>223500</v>
      </c>
      <c r="E97" s="26">
        <f t="shared" si="3"/>
        <v>134912.91</v>
      </c>
      <c r="F97" s="26">
        <v>8000</v>
      </c>
      <c r="G97" s="26">
        <v>11000</v>
      </c>
    </row>
    <row r="98" spans="1:7" x14ac:dyDescent="0.2">
      <c r="A98" s="23">
        <v>44971</v>
      </c>
      <c r="B98" s="25">
        <v>2</v>
      </c>
      <c r="C98" s="32">
        <f t="shared" si="4"/>
        <v>0.03</v>
      </c>
      <c r="D98" s="26">
        <f>'Master (Filled)'!O100</f>
        <v>138598.01999999999</v>
      </c>
      <c r="E98" s="26">
        <f t="shared" ref="E98:E129" si="5">(A98*B98)-(B98*C98)</f>
        <v>89941.94</v>
      </c>
      <c r="F98" s="26">
        <v>8000</v>
      </c>
      <c r="G98" s="26">
        <v>11000</v>
      </c>
    </row>
    <row r="99" spans="1:7" x14ac:dyDescent="0.2">
      <c r="A99" s="23">
        <v>44972</v>
      </c>
      <c r="B99" s="25">
        <v>2</v>
      </c>
      <c r="C99" s="32">
        <f t="shared" si="4"/>
        <v>0.03</v>
      </c>
      <c r="D99" s="26">
        <f>'Master (Filled)'!O101</f>
        <v>148500</v>
      </c>
      <c r="E99" s="26">
        <f t="shared" si="5"/>
        <v>89943.94</v>
      </c>
      <c r="F99" s="26">
        <v>8000</v>
      </c>
      <c r="G99" s="26">
        <v>11000</v>
      </c>
    </row>
    <row r="100" spans="1:7" x14ac:dyDescent="0.2">
      <c r="A100" s="23">
        <v>44972</v>
      </c>
      <c r="B100" s="25">
        <v>4</v>
      </c>
      <c r="C100" s="32">
        <f t="shared" si="4"/>
        <v>0.03</v>
      </c>
      <c r="D100" s="26">
        <f>'Master (Filled)'!O102</f>
        <v>298500</v>
      </c>
      <c r="E100" s="26">
        <f t="shared" si="5"/>
        <v>179887.88</v>
      </c>
      <c r="F100" s="26">
        <v>8000</v>
      </c>
      <c r="G100" s="26">
        <v>11000</v>
      </c>
    </row>
    <row r="101" spans="1:7" x14ac:dyDescent="0.2">
      <c r="A101" s="23">
        <v>44972</v>
      </c>
      <c r="B101" s="25">
        <v>4</v>
      </c>
      <c r="C101" s="32">
        <f t="shared" si="4"/>
        <v>0.03</v>
      </c>
      <c r="D101" s="26">
        <f>'Master (Filled)'!O103</f>
        <v>477600</v>
      </c>
      <c r="E101" s="26">
        <f t="shared" si="5"/>
        <v>179887.88</v>
      </c>
      <c r="F101" s="26">
        <v>8000</v>
      </c>
      <c r="G101" s="26">
        <v>11000</v>
      </c>
    </row>
    <row r="102" spans="1:7" x14ac:dyDescent="0.2">
      <c r="A102" s="23">
        <v>44972</v>
      </c>
      <c r="B102" s="25">
        <v>5</v>
      </c>
      <c r="C102" s="32">
        <f t="shared" si="4"/>
        <v>0.03</v>
      </c>
      <c r="D102" s="26">
        <f>'Master (Filled)'!O104</f>
        <v>550290</v>
      </c>
      <c r="E102" s="26">
        <f t="shared" si="5"/>
        <v>224859.85</v>
      </c>
      <c r="F102" s="26">
        <v>8000</v>
      </c>
      <c r="G102" s="26">
        <v>11000</v>
      </c>
    </row>
    <row r="103" spans="1:7" x14ac:dyDescent="0.2">
      <c r="A103" s="23">
        <v>44972</v>
      </c>
      <c r="B103" s="25">
        <v>5</v>
      </c>
      <c r="C103" s="32">
        <f t="shared" si="4"/>
        <v>0.03</v>
      </c>
      <c r="D103" s="26">
        <f>'Master (Filled)'!O105</f>
        <v>423300</v>
      </c>
      <c r="E103" s="26">
        <f t="shared" si="5"/>
        <v>224859.85</v>
      </c>
      <c r="F103" s="26">
        <v>8000</v>
      </c>
      <c r="G103" s="26">
        <v>11000</v>
      </c>
    </row>
    <row r="104" spans="1:7" x14ac:dyDescent="0.2">
      <c r="A104" s="23">
        <v>44972</v>
      </c>
      <c r="B104" s="25">
        <v>7</v>
      </c>
      <c r="C104" s="32">
        <f t="shared" si="4"/>
        <v>0.03</v>
      </c>
      <c r="D104" s="26">
        <f>'Master (Filled)'!O106</f>
        <v>523500</v>
      </c>
      <c r="E104" s="26">
        <f t="shared" si="5"/>
        <v>314803.78999999998</v>
      </c>
      <c r="F104" s="26">
        <v>8000</v>
      </c>
      <c r="G104" s="26">
        <v>11000</v>
      </c>
    </row>
    <row r="105" spans="1:7" x14ac:dyDescent="0.2">
      <c r="A105" s="23">
        <v>44973</v>
      </c>
      <c r="B105" s="25">
        <v>8</v>
      </c>
      <c r="C105" s="32">
        <f t="shared" si="4"/>
        <v>0.03</v>
      </c>
      <c r="D105" s="26">
        <f>'Master (Filled)'!O107</f>
        <v>718192.02</v>
      </c>
      <c r="E105" s="26">
        <f t="shared" si="5"/>
        <v>359783.76</v>
      </c>
      <c r="F105" s="26">
        <v>8000</v>
      </c>
      <c r="G105" s="26">
        <v>11000</v>
      </c>
    </row>
    <row r="106" spans="1:7" x14ac:dyDescent="0.2">
      <c r="A106" s="23">
        <v>44973</v>
      </c>
      <c r="B106" s="25">
        <v>8</v>
      </c>
      <c r="C106" s="32">
        <f t="shared" si="4"/>
        <v>0.03</v>
      </c>
      <c r="D106" s="26">
        <f>'Master (Filled)'!O108</f>
        <v>881790</v>
      </c>
      <c r="E106" s="26">
        <f t="shared" si="5"/>
        <v>359783.76</v>
      </c>
      <c r="F106" s="26">
        <v>8000</v>
      </c>
      <c r="G106" s="26">
        <v>11000</v>
      </c>
    </row>
    <row r="107" spans="1:7" x14ac:dyDescent="0.2">
      <c r="A107" s="23">
        <v>44973</v>
      </c>
      <c r="B107" s="25">
        <v>7</v>
      </c>
      <c r="C107" s="32">
        <f t="shared" si="4"/>
        <v>0.03</v>
      </c>
      <c r="D107" s="26">
        <f>'Master (Filled)'!O109</f>
        <v>628193.02</v>
      </c>
      <c r="E107" s="26">
        <f t="shared" si="5"/>
        <v>314810.78999999998</v>
      </c>
      <c r="F107" s="26">
        <v>8000</v>
      </c>
      <c r="G107" s="26">
        <v>11000</v>
      </c>
    </row>
    <row r="108" spans="1:7" x14ac:dyDescent="0.2">
      <c r="A108" s="23">
        <v>44974</v>
      </c>
      <c r="B108" s="25">
        <v>7</v>
      </c>
      <c r="C108" s="32">
        <f t="shared" si="4"/>
        <v>0.03</v>
      </c>
      <c r="D108" s="26">
        <f>'Master (Filled)'!O110</f>
        <v>628193.02</v>
      </c>
      <c r="E108" s="26">
        <f t="shared" si="5"/>
        <v>314817.78999999998</v>
      </c>
      <c r="F108" s="26">
        <v>8000</v>
      </c>
      <c r="G108" s="26">
        <v>11000</v>
      </c>
    </row>
    <row r="109" spans="1:7" x14ac:dyDescent="0.2">
      <c r="A109" s="23">
        <v>44974</v>
      </c>
      <c r="B109" s="25">
        <v>5</v>
      </c>
      <c r="C109" s="32">
        <f t="shared" si="4"/>
        <v>0.03</v>
      </c>
      <c r="D109" s="26">
        <f>'Master (Filled)'!O111</f>
        <v>448195.02</v>
      </c>
      <c r="E109" s="26">
        <f t="shared" si="5"/>
        <v>224869.85</v>
      </c>
      <c r="F109" s="26">
        <v>8000</v>
      </c>
      <c r="G109" s="26">
        <v>11000</v>
      </c>
    </row>
    <row r="110" spans="1:7" x14ac:dyDescent="0.2">
      <c r="A110" s="23">
        <v>44974</v>
      </c>
      <c r="B110" s="25">
        <v>4</v>
      </c>
      <c r="C110" s="32">
        <f t="shared" si="4"/>
        <v>0.03</v>
      </c>
      <c r="D110" s="26">
        <f>'Master (Filled)'!O112</f>
        <v>298500</v>
      </c>
      <c r="E110" s="26">
        <f t="shared" si="5"/>
        <v>179895.88</v>
      </c>
      <c r="F110" s="26">
        <v>8000</v>
      </c>
      <c r="G110" s="26">
        <v>11000</v>
      </c>
    </row>
    <row r="111" spans="1:7" x14ac:dyDescent="0.2">
      <c r="A111" s="23">
        <v>44974</v>
      </c>
      <c r="B111" s="25">
        <v>6</v>
      </c>
      <c r="C111" s="32">
        <f t="shared" si="4"/>
        <v>0.03</v>
      </c>
      <c r="D111" s="26">
        <f>'Master (Filled)'!O113</f>
        <v>328900</v>
      </c>
      <c r="E111" s="26">
        <f t="shared" si="5"/>
        <v>269843.82</v>
      </c>
      <c r="F111" s="26">
        <v>8000</v>
      </c>
      <c r="G111" s="26">
        <v>11000</v>
      </c>
    </row>
    <row r="112" spans="1:7" x14ac:dyDescent="0.2">
      <c r="A112" s="23">
        <v>44974</v>
      </c>
      <c r="B112" s="25">
        <v>8</v>
      </c>
      <c r="C112" s="32">
        <f t="shared" si="4"/>
        <v>0.03</v>
      </c>
      <c r="D112" s="26">
        <f>'Master (Filled)'!O114</f>
        <v>438900</v>
      </c>
      <c r="E112" s="26">
        <f t="shared" si="5"/>
        <v>359791.76</v>
      </c>
      <c r="F112" s="26">
        <v>8000</v>
      </c>
      <c r="G112" s="26">
        <v>11000</v>
      </c>
    </row>
    <row r="113" spans="1:7" x14ac:dyDescent="0.2">
      <c r="A113" s="23">
        <v>44974</v>
      </c>
      <c r="B113" s="25">
        <v>8</v>
      </c>
      <c r="C113" s="32">
        <f t="shared" si="4"/>
        <v>0.03</v>
      </c>
      <c r="D113" s="26">
        <f>'Master (Filled)'!O115</f>
        <v>917700</v>
      </c>
      <c r="E113" s="26">
        <f t="shared" si="5"/>
        <v>359791.76</v>
      </c>
      <c r="F113" s="26">
        <v>8000</v>
      </c>
      <c r="G113" s="26">
        <v>11000</v>
      </c>
    </row>
    <row r="114" spans="1:7" x14ac:dyDescent="0.2">
      <c r="A114" s="23">
        <v>44975</v>
      </c>
      <c r="B114" s="25">
        <v>9</v>
      </c>
      <c r="C114" s="32">
        <f t="shared" si="4"/>
        <v>0.03</v>
      </c>
      <c r="D114" s="26">
        <f>'Master (Filled)'!O116</f>
        <v>1031550</v>
      </c>
      <c r="E114" s="26">
        <f t="shared" si="5"/>
        <v>404774.73</v>
      </c>
      <c r="F114" s="26">
        <v>8000</v>
      </c>
      <c r="G114" s="26">
        <v>11000</v>
      </c>
    </row>
    <row r="115" spans="1:7" x14ac:dyDescent="0.2">
      <c r="A115" s="23">
        <v>44975</v>
      </c>
      <c r="B115" s="25">
        <v>11</v>
      </c>
      <c r="C115" s="32">
        <f t="shared" si="4"/>
        <v>0.03</v>
      </c>
      <c r="D115" s="26">
        <f>'Master (Filled)'!O117</f>
        <v>1212185</v>
      </c>
      <c r="E115" s="26">
        <f t="shared" si="5"/>
        <v>494724.67</v>
      </c>
      <c r="F115" s="26">
        <v>8000</v>
      </c>
      <c r="G115" s="26">
        <v>11000</v>
      </c>
    </row>
    <row r="116" spans="1:7" x14ac:dyDescent="0.2">
      <c r="A116" s="23">
        <v>44975</v>
      </c>
      <c r="B116" s="25">
        <v>10</v>
      </c>
      <c r="C116" s="32">
        <f t="shared" si="4"/>
        <v>0.03</v>
      </c>
      <c r="D116" s="26">
        <f>'Master (Filled)'!O118</f>
        <v>453635</v>
      </c>
      <c r="E116" s="26">
        <f t="shared" si="5"/>
        <v>449749.7</v>
      </c>
      <c r="F116" s="26">
        <v>8000</v>
      </c>
      <c r="G116" s="26">
        <v>11000</v>
      </c>
    </row>
    <row r="117" spans="1:7" x14ac:dyDescent="0.2">
      <c r="A117" s="23">
        <v>44976</v>
      </c>
      <c r="B117" s="25">
        <v>9</v>
      </c>
      <c r="C117" s="32">
        <f t="shared" si="4"/>
        <v>0.03</v>
      </c>
      <c r="D117" s="26">
        <f>'Master (Filled)'!O119</f>
        <v>1076400</v>
      </c>
      <c r="E117" s="26">
        <f t="shared" si="5"/>
        <v>404783.73</v>
      </c>
      <c r="F117" s="26">
        <v>8000</v>
      </c>
      <c r="G117" s="26">
        <v>11000</v>
      </c>
    </row>
    <row r="118" spans="1:7" x14ac:dyDescent="0.2">
      <c r="A118" s="23">
        <v>44976</v>
      </c>
      <c r="B118" s="25">
        <v>5</v>
      </c>
      <c r="C118" s="32">
        <f t="shared" si="4"/>
        <v>0.03</v>
      </c>
      <c r="D118" s="26">
        <f>'Master (Filled)'!O120</f>
        <v>373500</v>
      </c>
      <c r="E118" s="26">
        <f t="shared" si="5"/>
        <v>224879.85</v>
      </c>
      <c r="F118" s="26">
        <v>8000</v>
      </c>
      <c r="G118" s="26">
        <v>11000</v>
      </c>
    </row>
    <row r="119" spans="1:7" x14ac:dyDescent="0.2">
      <c r="A119" s="23">
        <v>44976</v>
      </c>
      <c r="B119" s="25">
        <v>5</v>
      </c>
      <c r="C119" s="32">
        <f t="shared" si="4"/>
        <v>0.03</v>
      </c>
      <c r="D119" s="26">
        <f>'Master (Filled)'!O121</f>
        <v>273900</v>
      </c>
      <c r="E119" s="26">
        <f t="shared" si="5"/>
        <v>224879.85</v>
      </c>
      <c r="F119" s="26">
        <v>8000</v>
      </c>
      <c r="G119" s="26">
        <v>11000</v>
      </c>
    </row>
    <row r="120" spans="1:7" x14ac:dyDescent="0.2">
      <c r="A120" s="23">
        <v>44976</v>
      </c>
      <c r="B120" s="25">
        <v>3</v>
      </c>
      <c r="C120" s="32">
        <f t="shared" si="4"/>
        <v>0.03</v>
      </c>
      <c r="D120" s="26">
        <f>'Master (Filled)'!O122</f>
        <v>329290</v>
      </c>
      <c r="E120" s="26">
        <f t="shared" si="5"/>
        <v>134927.91</v>
      </c>
      <c r="F120" s="26">
        <v>8000</v>
      </c>
      <c r="G120" s="26">
        <v>11000</v>
      </c>
    </row>
    <row r="121" spans="1:7" x14ac:dyDescent="0.2">
      <c r="A121" s="23">
        <v>44976</v>
      </c>
      <c r="B121" s="25">
        <v>2</v>
      </c>
      <c r="C121" s="32">
        <f t="shared" si="4"/>
        <v>0.03</v>
      </c>
      <c r="D121" s="26">
        <f>'Master (Filled)'!O123</f>
        <v>138598.01999999999</v>
      </c>
      <c r="E121" s="26">
        <f t="shared" si="5"/>
        <v>89951.94</v>
      </c>
      <c r="F121" s="26">
        <v>8000</v>
      </c>
      <c r="G121" s="26">
        <v>11000</v>
      </c>
    </row>
    <row r="122" spans="1:7" x14ac:dyDescent="0.2">
      <c r="A122" s="23">
        <v>44977</v>
      </c>
      <c r="B122" s="25">
        <v>2</v>
      </c>
      <c r="C122" s="32">
        <f t="shared" si="4"/>
        <v>0.03</v>
      </c>
      <c r="D122" s="26">
        <f>'Master (Filled)'!O124</f>
        <v>50490</v>
      </c>
      <c r="E122" s="26">
        <f t="shared" si="5"/>
        <v>89953.94</v>
      </c>
      <c r="F122" s="26">
        <v>8000</v>
      </c>
      <c r="G122" s="26">
        <v>11000</v>
      </c>
    </row>
    <row r="123" spans="1:7" x14ac:dyDescent="0.2">
      <c r="A123" s="23">
        <v>44977</v>
      </c>
      <c r="B123" s="25">
        <v>2</v>
      </c>
      <c r="C123" s="32">
        <f t="shared" si="4"/>
        <v>0.03</v>
      </c>
      <c r="D123" s="26">
        <f>'Master (Filled)'!O125</f>
        <v>50490</v>
      </c>
      <c r="E123" s="26">
        <f t="shared" si="5"/>
        <v>89953.94</v>
      </c>
      <c r="F123" s="26">
        <v>8000</v>
      </c>
      <c r="G123" s="26">
        <v>11000</v>
      </c>
    </row>
    <row r="124" spans="1:7" x14ac:dyDescent="0.2">
      <c r="A124" s="23">
        <v>44977</v>
      </c>
      <c r="B124" s="25">
        <v>4</v>
      </c>
      <c r="C124" s="32">
        <f t="shared" si="4"/>
        <v>0.03</v>
      </c>
      <c r="D124" s="26">
        <f>'Master (Filled)'!O126</f>
        <v>101490</v>
      </c>
      <c r="E124" s="26">
        <f t="shared" si="5"/>
        <v>179907.88</v>
      </c>
      <c r="F124" s="26">
        <v>8000</v>
      </c>
      <c r="G124" s="26">
        <v>11000</v>
      </c>
    </row>
    <row r="125" spans="1:7" x14ac:dyDescent="0.2">
      <c r="A125" s="23">
        <v>44977</v>
      </c>
      <c r="B125" s="25">
        <v>5</v>
      </c>
      <c r="C125" s="32">
        <f t="shared" si="4"/>
        <v>0.03</v>
      </c>
      <c r="D125" s="26">
        <f>'Master (Filled)'!O127</f>
        <v>348595.02</v>
      </c>
      <c r="E125" s="26">
        <f t="shared" si="5"/>
        <v>224884.85</v>
      </c>
      <c r="F125" s="26">
        <v>8000</v>
      </c>
      <c r="G125" s="26">
        <v>11000</v>
      </c>
    </row>
    <row r="126" spans="1:7" x14ac:dyDescent="0.2">
      <c r="A126" s="23">
        <v>44978</v>
      </c>
      <c r="B126" s="25">
        <v>5</v>
      </c>
      <c r="C126" s="32">
        <f t="shared" si="4"/>
        <v>0.03</v>
      </c>
      <c r="D126" s="26">
        <f>'Master (Filled)'!O128</f>
        <v>348595.02</v>
      </c>
      <c r="E126" s="26">
        <f t="shared" si="5"/>
        <v>224889.85</v>
      </c>
      <c r="F126" s="26">
        <v>8000</v>
      </c>
      <c r="G126" s="26">
        <v>11000</v>
      </c>
    </row>
    <row r="127" spans="1:7" x14ac:dyDescent="0.2">
      <c r="A127" s="23">
        <v>44978</v>
      </c>
      <c r="B127" s="25">
        <v>7</v>
      </c>
      <c r="C127" s="32">
        <f t="shared" si="4"/>
        <v>0.03</v>
      </c>
      <c r="D127" s="26">
        <f>'Master (Filled)'!O129</f>
        <v>348993.02</v>
      </c>
      <c r="E127" s="26">
        <f t="shared" si="5"/>
        <v>314845.78999999998</v>
      </c>
      <c r="F127" s="26">
        <v>8000</v>
      </c>
      <c r="G127" s="26">
        <v>11000</v>
      </c>
    </row>
    <row r="128" spans="1:7" x14ac:dyDescent="0.2">
      <c r="A128" s="23">
        <v>44978</v>
      </c>
      <c r="B128" s="25">
        <v>7</v>
      </c>
      <c r="C128" s="32">
        <f t="shared" si="4"/>
        <v>0.03</v>
      </c>
      <c r="D128" s="26">
        <f>'Master (Filled)'!O130</f>
        <v>348993.02</v>
      </c>
      <c r="E128" s="26">
        <f t="shared" si="5"/>
        <v>314845.78999999998</v>
      </c>
      <c r="F128" s="26">
        <v>8000</v>
      </c>
      <c r="G128" s="26">
        <v>11000</v>
      </c>
    </row>
    <row r="129" spans="1:7" x14ac:dyDescent="0.2">
      <c r="A129" s="23">
        <v>44978</v>
      </c>
      <c r="B129" s="25">
        <v>7</v>
      </c>
      <c r="C129" s="32">
        <f t="shared" si="4"/>
        <v>0.03</v>
      </c>
      <c r="D129" s="26">
        <f>'Master (Filled)'!O131</f>
        <v>348993.02</v>
      </c>
      <c r="E129" s="26">
        <f t="shared" si="5"/>
        <v>314845.78999999998</v>
      </c>
      <c r="F129" s="26">
        <v>8000</v>
      </c>
      <c r="G129" s="26">
        <v>11000</v>
      </c>
    </row>
    <row r="130" spans="1:7" x14ac:dyDescent="0.2">
      <c r="A130" s="23">
        <v>44978</v>
      </c>
      <c r="B130" s="25">
        <v>8</v>
      </c>
      <c r="C130" s="32">
        <f t="shared" si="4"/>
        <v>0.03</v>
      </c>
      <c r="D130" s="26">
        <f>'Master (Filled)'!O132</f>
        <v>881790</v>
      </c>
      <c r="E130" s="26">
        <f t="shared" ref="E130:E161" si="6">(A130*B130)-(B130*C130)</f>
        <v>359823.76</v>
      </c>
      <c r="F130" s="26">
        <v>8000</v>
      </c>
      <c r="G130" s="26">
        <v>11000</v>
      </c>
    </row>
    <row r="131" spans="1:7" x14ac:dyDescent="0.2">
      <c r="A131" s="23">
        <v>44979</v>
      </c>
      <c r="B131" s="25">
        <v>8</v>
      </c>
      <c r="C131" s="32">
        <f t="shared" si="4"/>
        <v>0.03</v>
      </c>
      <c r="D131" s="26">
        <f>'Master (Filled)'!O133</f>
        <v>678300</v>
      </c>
      <c r="E131" s="26">
        <f t="shared" si="6"/>
        <v>359831.76</v>
      </c>
      <c r="F131" s="26">
        <v>8000</v>
      </c>
      <c r="G131" s="26">
        <v>11000</v>
      </c>
    </row>
    <row r="132" spans="1:7" x14ac:dyDescent="0.2">
      <c r="A132" s="23">
        <v>44979</v>
      </c>
      <c r="B132" s="25">
        <v>9</v>
      </c>
      <c r="C132" s="32">
        <f t="shared" si="4"/>
        <v>0.03</v>
      </c>
      <c r="D132" s="26">
        <f>'Master (Filled)'!O134</f>
        <v>672750</v>
      </c>
      <c r="E132" s="26">
        <f t="shared" si="6"/>
        <v>404810.73</v>
      </c>
      <c r="F132" s="26">
        <v>8000</v>
      </c>
      <c r="G132" s="26">
        <v>11000</v>
      </c>
    </row>
    <row r="133" spans="1:7" x14ac:dyDescent="0.2">
      <c r="A133" s="23">
        <v>44979</v>
      </c>
      <c r="B133" s="25">
        <v>12</v>
      </c>
      <c r="C133" s="32">
        <f t="shared" si="4"/>
        <v>0.03</v>
      </c>
      <c r="D133" s="26">
        <f>'Master (Filled)'!O135</f>
        <v>1436400</v>
      </c>
      <c r="E133" s="26">
        <f t="shared" si="6"/>
        <v>539747.64</v>
      </c>
      <c r="F133" s="26">
        <v>8000</v>
      </c>
      <c r="G133" s="26">
        <v>11000</v>
      </c>
    </row>
    <row r="134" spans="1:7" x14ac:dyDescent="0.2">
      <c r="A134" s="23">
        <v>44979</v>
      </c>
      <c r="B134" s="25">
        <v>11</v>
      </c>
      <c r="C134" s="32">
        <f t="shared" ref="C134:C181" si="7">IF(A134&gt;8,3%,2%)</f>
        <v>0.03</v>
      </c>
      <c r="D134" s="26">
        <f>'Master (Filled)'!O136</f>
        <v>603350</v>
      </c>
      <c r="E134" s="26">
        <f t="shared" si="6"/>
        <v>494768.67</v>
      </c>
      <c r="F134" s="26">
        <v>8000</v>
      </c>
      <c r="G134" s="26">
        <v>11000</v>
      </c>
    </row>
    <row r="135" spans="1:7" x14ac:dyDescent="0.2">
      <c r="A135" s="23">
        <v>44980</v>
      </c>
      <c r="B135" s="25">
        <v>11</v>
      </c>
      <c r="C135" s="32">
        <f t="shared" si="7"/>
        <v>0.03</v>
      </c>
      <c r="D135" s="26">
        <f>'Master (Filled)'!O137</f>
        <v>603350</v>
      </c>
      <c r="E135" s="26">
        <f t="shared" si="6"/>
        <v>494779.67</v>
      </c>
      <c r="F135" s="26">
        <v>8000</v>
      </c>
      <c r="G135" s="26">
        <v>11000</v>
      </c>
    </row>
    <row r="136" spans="1:7" x14ac:dyDescent="0.2">
      <c r="A136" s="23">
        <v>44980</v>
      </c>
      <c r="B136" s="25">
        <v>15</v>
      </c>
      <c r="C136" s="32">
        <f t="shared" si="7"/>
        <v>0.03</v>
      </c>
      <c r="D136" s="26">
        <f>'Master (Filled)'!O138</f>
        <v>823350</v>
      </c>
      <c r="E136" s="26">
        <f t="shared" si="6"/>
        <v>674699.55</v>
      </c>
      <c r="F136" s="26">
        <v>8000</v>
      </c>
      <c r="G136" s="26">
        <v>11000</v>
      </c>
    </row>
    <row r="137" spans="1:7" x14ac:dyDescent="0.2">
      <c r="A137" s="23">
        <v>44980</v>
      </c>
      <c r="B137" s="25">
        <v>13</v>
      </c>
      <c r="C137" s="32">
        <f t="shared" si="7"/>
        <v>0.03</v>
      </c>
      <c r="D137" s="26">
        <f>'Master (Filled)'!O139</f>
        <v>1556400</v>
      </c>
      <c r="E137" s="26">
        <f t="shared" si="6"/>
        <v>584739.61</v>
      </c>
      <c r="F137" s="26">
        <v>8000</v>
      </c>
      <c r="G137" s="26">
        <v>11000</v>
      </c>
    </row>
    <row r="138" spans="1:7" x14ac:dyDescent="0.2">
      <c r="A138" s="23">
        <v>44980</v>
      </c>
      <c r="B138" s="25">
        <v>2</v>
      </c>
      <c r="C138" s="32">
        <f t="shared" si="7"/>
        <v>0.03</v>
      </c>
      <c r="D138" s="26">
        <f>'Master (Filled)'!O140</f>
        <v>237600</v>
      </c>
      <c r="E138" s="26">
        <f t="shared" si="6"/>
        <v>89959.94</v>
      </c>
      <c r="F138" s="26">
        <v>8000</v>
      </c>
      <c r="G138" s="26">
        <v>11000</v>
      </c>
    </row>
    <row r="139" spans="1:7" x14ac:dyDescent="0.2">
      <c r="A139" s="23">
        <v>44981</v>
      </c>
      <c r="B139" s="25">
        <v>2</v>
      </c>
      <c r="C139" s="32">
        <f t="shared" si="7"/>
        <v>0.03</v>
      </c>
      <c r="D139" s="26">
        <f>'Master (Filled)'!O141</f>
        <v>227700</v>
      </c>
      <c r="E139" s="26">
        <f t="shared" si="6"/>
        <v>89961.94</v>
      </c>
      <c r="F139" s="26">
        <v>8000</v>
      </c>
      <c r="G139" s="26">
        <v>11000</v>
      </c>
    </row>
    <row r="140" spans="1:7" x14ac:dyDescent="0.2">
      <c r="A140" s="23">
        <v>44981</v>
      </c>
      <c r="B140" s="25">
        <v>2</v>
      </c>
      <c r="C140" s="32">
        <f t="shared" si="7"/>
        <v>0.03</v>
      </c>
      <c r="D140" s="26">
        <f>'Master (Filled)'!O142</f>
        <v>227700</v>
      </c>
      <c r="E140" s="26">
        <f t="shared" si="6"/>
        <v>89961.94</v>
      </c>
      <c r="F140" s="26">
        <v>8000</v>
      </c>
      <c r="G140" s="26">
        <v>11000</v>
      </c>
    </row>
    <row r="141" spans="1:7" x14ac:dyDescent="0.2">
      <c r="A141" s="23">
        <v>44981</v>
      </c>
      <c r="B141" s="25">
        <v>3</v>
      </c>
      <c r="C141" s="32">
        <f t="shared" si="7"/>
        <v>0.03</v>
      </c>
      <c r="D141" s="26">
        <f>'Master (Filled)'!O143</f>
        <v>75990</v>
      </c>
      <c r="E141" s="26">
        <f t="shared" si="6"/>
        <v>134942.91</v>
      </c>
      <c r="F141" s="26">
        <v>8000</v>
      </c>
      <c r="G141" s="26">
        <v>11000</v>
      </c>
    </row>
    <row r="142" spans="1:7" x14ac:dyDescent="0.2">
      <c r="A142" s="23">
        <v>44982</v>
      </c>
      <c r="B142" s="25">
        <v>4</v>
      </c>
      <c r="C142" s="32">
        <f t="shared" si="7"/>
        <v>0.03</v>
      </c>
      <c r="D142" s="26">
        <f>'Master (Filled)'!O144</f>
        <v>101490</v>
      </c>
      <c r="E142" s="26">
        <f t="shared" si="6"/>
        <v>179927.88</v>
      </c>
      <c r="F142" s="26">
        <v>8000</v>
      </c>
      <c r="G142" s="26">
        <v>11000</v>
      </c>
    </row>
    <row r="143" spans="1:7" x14ac:dyDescent="0.2">
      <c r="A143" s="23">
        <v>44982</v>
      </c>
      <c r="B143" s="25">
        <v>5</v>
      </c>
      <c r="C143" s="32">
        <f t="shared" si="7"/>
        <v>0.03</v>
      </c>
      <c r="D143" s="26">
        <f>'Master (Filled)'!O145</f>
        <v>971100</v>
      </c>
      <c r="E143" s="26">
        <f t="shared" si="6"/>
        <v>224909.85</v>
      </c>
      <c r="F143" s="26">
        <v>8000</v>
      </c>
      <c r="G143" s="26">
        <v>11000</v>
      </c>
    </row>
    <row r="144" spans="1:7" x14ac:dyDescent="0.2">
      <c r="A144" s="23">
        <v>44982</v>
      </c>
      <c r="B144" s="25">
        <v>7</v>
      </c>
      <c r="C144" s="32">
        <f t="shared" si="7"/>
        <v>0.03</v>
      </c>
      <c r="D144" s="26">
        <f>'Master (Filled)'!O146</f>
        <v>317590</v>
      </c>
      <c r="E144" s="26">
        <f t="shared" si="6"/>
        <v>314873.78999999998</v>
      </c>
      <c r="F144" s="26">
        <v>8000</v>
      </c>
      <c r="G144" s="26">
        <v>11000</v>
      </c>
    </row>
    <row r="145" spans="1:7" x14ac:dyDescent="0.2">
      <c r="A145" s="23">
        <v>44982</v>
      </c>
      <c r="B145" s="25">
        <v>7</v>
      </c>
      <c r="C145" s="32">
        <f t="shared" si="7"/>
        <v>0.03</v>
      </c>
      <c r="D145" s="26">
        <f>'Master (Filled)'!O147</f>
        <v>317590</v>
      </c>
      <c r="E145" s="26">
        <f t="shared" si="6"/>
        <v>314873.78999999998</v>
      </c>
      <c r="F145" s="26">
        <v>8000</v>
      </c>
      <c r="G145" s="26">
        <v>11000</v>
      </c>
    </row>
    <row r="146" spans="1:7" x14ac:dyDescent="0.2">
      <c r="A146" s="23">
        <v>44982</v>
      </c>
      <c r="B146" s="25">
        <v>5</v>
      </c>
      <c r="C146" s="32">
        <f t="shared" si="7"/>
        <v>0.03</v>
      </c>
      <c r="D146" s="26">
        <f>'Master (Filled)'!O148</f>
        <v>226590</v>
      </c>
      <c r="E146" s="26">
        <f t="shared" si="6"/>
        <v>224909.85</v>
      </c>
      <c r="F146" s="26">
        <v>8000</v>
      </c>
      <c r="G146" s="26">
        <v>11000</v>
      </c>
    </row>
    <row r="147" spans="1:7" x14ac:dyDescent="0.2">
      <c r="A147" s="23">
        <v>44983</v>
      </c>
      <c r="B147" s="25">
        <v>4</v>
      </c>
      <c r="C147" s="32">
        <f t="shared" si="7"/>
        <v>0.03</v>
      </c>
      <c r="D147" s="26">
        <f>'Master (Filled)'!O149</f>
        <v>776100</v>
      </c>
      <c r="E147" s="26">
        <f t="shared" si="6"/>
        <v>179931.88</v>
      </c>
      <c r="F147" s="26">
        <v>8000</v>
      </c>
      <c r="G147" s="26">
        <v>11000</v>
      </c>
    </row>
    <row r="148" spans="1:7" x14ac:dyDescent="0.2">
      <c r="A148" s="23">
        <v>44983</v>
      </c>
      <c r="B148" s="25">
        <v>6</v>
      </c>
      <c r="C148" s="32">
        <f t="shared" si="7"/>
        <v>0.03</v>
      </c>
      <c r="D148" s="26">
        <f>'Master (Filled)'!O150</f>
        <v>448500</v>
      </c>
      <c r="E148" s="26">
        <f t="shared" si="6"/>
        <v>269897.82</v>
      </c>
      <c r="F148" s="26">
        <v>8000</v>
      </c>
      <c r="G148" s="26">
        <v>11000</v>
      </c>
    </row>
    <row r="149" spans="1:7" x14ac:dyDescent="0.2">
      <c r="A149" s="23">
        <v>44983</v>
      </c>
      <c r="B149" s="25">
        <v>8</v>
      </c>
      <c r="C149" s="32">
        <f t="shared" si="7"/>
        <v>0.03</v>
      </c>
      <c r="D149" s="26">
        <f>'Master (Filled)'!O151</f>
        <v>438900</v>
      </c>
      <c r="E149" s="26">
        <f t="shared" si="6"/>
        <v>359863.76</v>
      </c>
      <c r="F149" s="26">
        <v>8000</v>
      </c>
      <c r="G149" s="26">
        <v>11000</v>
      </c>
    </row>
    <row r="150" spans="1:7" x14ac:dyDescent="0.2">
      <c r="A150" s="23">
        <v>44983</v>
      </c>
      <c r="B150" s="25">
        <v>8</v>
      </c>
      <c r="C150" s="32">
        <f t="shared" si="7"/>
        <v>0.03</v>
      </c>
      <c r="D150" s="26">
        <f>'Master (Filled)'!O152</f>
        <v>957600</v>
      </c>
      <c r="E150" s="26">
        <f t="shared" si="6"/>
        <v>359863.76</v>
      </c>
      <c r="F150" s="26">
        <v>8000</v>
      </c>
      <c r="G150" s="26">
        <v>11000</v>
      </c>
    </row>
    <row r="151" spans="1:7" x14ac:dyDescent="0.2">
      <c r="A151" s="23">
        <v>44984</v>
      </c>
      <c r="B151" s="25">
        <v>9</v>
      </c>
      <c r="C151" s="32">
        <f t="shared" si="7"/>
        <v>0.03</v>
      </c>
      <c r="D151" s="26">
        <f>'Master (Filled)'!O153</f>
        <v>228735</v>
      </c>
      <c r="E151" s="26">
        <f t="shared" si="6"/>
        <v>404855.73</v>
      </c>
      <c r="F151" s="26">
        <v>8000</v>
      </c>
      <c r="G151" s="26">
        <v>11000</v>
      </c>
    </row>
    <row r="152" spans="1:7" x14ac:dyDescent="0.2">
      <c r="A152" s="23">
        <v>44984</v>
      </c>
      <c r="B152" s="25">
        <v>11</v>
      </c>
      <c r="C152" s="32">
        <f t="shared" si="7"/>
        <v>0.03</v>
      </c>
      <c r="D152" s="26">
        <f>'Master (Filled)'!O154</f>
        <v>1316400</v>
      </c>
      <c r="E152" s="26">
        <f t="shared" si="6"/>
        <v>494823.67</v>
      </c>
      <c r="F152" s="26">
        <v>8000</v>
      </c>
      <c r="G152" s="26">
        <v>11000</v>
      </c>
    </row>
    <row r="153" spans="1:7" x14ac:dyDescent="0.2">
      <c r="A153" s="23">
        <v>44984</v>
      </c>
      <c r="B153" s="25">
        <v>10</v>
      </c>
      <c r="C153" s="32">
        <f t="shared" si="7"/>
        <v>0.03</v>
      </c>
      <c r="D153" s="26">
        <f>'Master (Filled)'!O155</f>
        <v>548350</v>
      </c>
      <c r="E153" s="26">
        <f t="shared" si="6"/>
        <v>449839.7</v>
      </c>
      <c r="F153" s="26">
        <v>8000</v>
      </c>
      <c r="G153" s="26">
        <v>11000</v>
      </c>
    </row>
    <row r="154" spans="1:7" x14ac:dyDescent="0.2">
      <c r="A154" s="23">
        <v>44984</v>
      </c>
      <c r="B154" s="25">
        <v>9</v>
      </c>
      <c r="C154" s="32">
        <f t="shared" si="7"/>
        <v>0.03</v>
      </c>
      <c r="D154" s="26">
        <f>'Master (Filled)'!O156</f>
        <v>1076400</v>
      </c>
      <c r="E154" s="26">
        <f t="shared" si="6"/>
        <v>404855.73</v>
      </c>
      <c r="F154" s="26">
        <v>8000</v>
      </c>
      <c r="G154" s="26">
        <v>11000</v>
      </c>
    </row>
    <row r="155" spans="1:7" x14ac:dyDescent="0.2">
      <c r="A155" s="23">
        <v>44985</v>
      </c>
      <c r="B155" s="25">
        <v>5</v>
      </c>
      <c r="C155" s="32">
        <f t="shared" si="7"/>
        <v>0.03</v>
      </c>
      <c r="D155" s="26">
        <f>'Master (Filled)'!O157</f>
        <v>373500</v>
      </c>
      <c r="E155" s="26">
        <f t="shared" si="6"/>
        <v>224924.85</v>
      </c>
      <c r="F155" s="26">
        <v>8000</v>
      </c>
      <c r="G155" s="26">
        <v>11000</v>
      </c>
    </row>
    <row r="156" spans="1:7" x14ac:dyDescent="0.2">
      <c r="A156" s="23">
        <v>44985</v>
      </c>
      <c r="B156" s="25">
        <v>5</v>
      </c>
      <c r="C156" s="32">
        <f t="shared" si="7"/>
        <v>0.03</v>
      </c>
      <c r="D156" s="26">
        <f>'Master (Filled)'!O158</f>
        <v>423300</v>
      </c>
      <c r="E156" s="26">
        <f t="shared" si="6"/>
        <v>224924.85</v>
      </c>
      <c r="F156" s="26">
        <v>8000</v>
      </c>
      <c r="G156" s="26">
        <v>11000</v>
      </c>
    </row>
    <row r="157" spans="1:7" x14ac:dyDescent="0.2">
      <c r="A157" s="23">
        <v>44985</v>
      </c>
      <c r="B157" s="25">
        <v>3</v>
      </c>
      <c r="C157" s="32">
        <f t="shared" si="7"/>
        <v>0.03</v>
      </c>
      <c r="D157" s="26">
        <f>'Master (Filled)'!O159</f>
        <v>163900</v>
      </c>
      <c r="E157" s="26">
        <f t="shared" si="6"/>
        <v>134954.91</v>
      </c>
      <c r="F157" s="26">
        <v>8000</v>
      </c>
      <c r="G157" s="26">
        <v>11000</v>
      </c>
    </row>
    <row r="158" spans="1:7" x14ac:dyDescent="0.2">
      <c r="A158" s="23">
        <v>44985</v>
      </c>
      <c r="B158" s="25">
        <v>2</v>
      </c>
      <c r="C158" s="32">
        <f t="shared" si="7"/>
        <v>0.03</v>
      </c>
      <c r="D158" s="26">
        <f>'Master (Filled)'!O160</f>
        <v>50490</v>
      </c>
      <c r="E158" s="26">
        <f t="shared" si="6"/>
        <v>89969.94</v>
      </c>
      <c r="F158" s="26">
        <v>8000</v>
      </c>
      <c r="G158" s="26">
        <v>11000</v>
      </c>
    </row>
    <row r="159" spans="1:7" x14ac:dyDescent="0.2">
      <c r="A159" s="23">
        <v>44985</v>
      </c>
      <c r="B159" s="25">
        <v>2</v>
      </c>
      <c r="C159" s="32">
        <f t="shared" si="7"/>
        <v>0.03</v>
      </c>
      <c r="D159" s="26">
        <f>'Master (Filled)'!O161</f>
        <v>148500</v>
      </c>
      <c r="E159" s="26">
        <f t="shared" si="6"/>
        <v>89969.94</v>
      </c>
      <c r="F159" s="26">
        <v>8000</v>
      </c>
      <c r="G159" s="26">
        <v>11000</v>
      </c>
    </row>
    <row r="160" spans="1:7" x14ac:dyDescent="0.2">
      <c r="A160" s="23">
        <v>44985</v>
      </c>
      <c r="B160" s="25">
        <v>2</v>
      </c>
      <c r="C160" s="32">
        <f t="shared" si="7"/>
        <v>0.03</v>
      </c>
      <c r="D160" s="26">
        <f>'Master (Filled)'!O162</f>
        <v>138598.01999999999</v>
      </c>
      <c r="E160" s="26">
        <f t="shared" si="6"/>
        <v>89969.94</v>
      </c>
      <c r="F160" s="26">
        <v>8000</v>
      </c>
      <c r="G160" s="26">
        <v>11000</v>
      </c>
    </row>
    <row r="161" spans="1:7" x14ac:dyDescent="0.2">
      <c r="A161" s="23">
        <v>44986</v>
      </c>
      <c r="B161" s="25">
        <v>4</v>
      </c>
      <c r="C161" s="32">
        <f t="shared" si="7"/>
        <v>0.03</v>
      </c>
      <c r="D161" s="26">
        <f>'Master (Filled)'!O163</f>
        <v>101490</v>
      </c>
      <c r="E161" s="26">
        <f t="shared" si="6"/>
        <v>179943.88</v>
      </c>
      <c r="F161" s="26">
        <v>8000</v>
      </c>
      <c r="G161" s="26">
        <v>11000</v>
      </c>
    </row>
    <row r="162" spans="1:7" x14ac:dyDescent="0.2">
      <c r="A162" s="23">
        <v>44986</v>
      </c>
      <c r="B162" s="25">
        <v>5</v>
      </c>
      <c r="C162" s="32">
        <f t="shared" si="7"/>
        <v>0.03</v>
      </c>
      <c r="D162" s="26">
        <f>'Master (Filled)'!O164</f>
        <v>126990</v>
      </c>
      <c r="E162" s="26">
        <f t="shared" ref="E162:E181" si="8">(A162*B162)-(B162*C162)</f>
        <v>224929.85</v>
      </c>
      <c r="F162" s="26">
        <v>8000</v>
      </c>
      <c r="G162" s="26">
        <v>11000</v>
      </c>
    </row>
    <row r="163" spans="1:7" x14ac:dyDescent="0.2">
      <c r="A163" s="23">
        <v>44986</v>
      </c>
      <c r="B163" s="25">
        <v>5</v>
      </c>
      <c r="C163" s="32">
        <f t="shared" si="7"/>
        <v>0.03</v>
      </c>
      <c r="D163" s="26">
        <f>'Master (Filled)'!O165</f>
        <v>597600</v>
      </c>
      <c r="E163" s="26">
        <f t="shared" si="8"/>
        <v>224929.85</v>
      </c>
      <c r="F163" s="26">
        <v>8000</v>
      </c>
      <c r="G163" s="26">
        <v>11000</v>
      </c>
    </row>
    <row r="164" spans="1:7" x14ac:dyDescent="0.2">
      <c r="A164" s="23">
        <v>44986</v>
      </c>
      <c r="B164" s="25">
        <v>7</v>
      </c>
      <c r="C164" s="32">
        <f t="shared" si="7"/>
        <v>0.03</v>
      </c>
      <c r="D164" s="26">
        <f>'Master (Filled)'!O166</f>
        <v>837600</v>
      </c>
      <c r="E164" s="26">
        <f t="shared" si="8"/>
        <v>314901.78999999998</v>
      </c>
      <c r="F164" s="26">
        <v>8000</v>
      </c>
      <c r="G164" s="26">
        <v>11000</v>
      </c>
    </row>
    <row r="165" spans="1:7" x14ac:dyDescent="0.2">
      <c r="A165" s="23">
        <v>44986</v>
      </c>
      <c r="B165" s="25">
        <v>7</v>
      </c>
      <c r="C165" s="32">
        <f t="shared" si="7"/>
        <v>0.03</v>
      </c>
      <c r="D165" s="26">
        <f>'Master (Filled)'!O167</f>
        <v>383900</v>
      </c>
      <c r="E165" s="26">
        <f t="shared" si="8"/>
        <v>314901.78999999998</v>
      </c>
      <c r="F165" s="26">
        <v>8000</v>
      </c>
      <c r="G165" s="26">
        <v>11000</v>
      </c>
    </row>
    <row r="166" spans="1:7" x14ac:dyDescent="0.2">
      <c r="A166" s="23">
        <v>44987</v>
      </c>
      <c r="B166" s="25">
        <v>7</v>
      </c>
      <c r="C166" s="32">
        <f t="shared" si="7"/>
        <v>0.03</v>
      </c>
      <c r="D166" s="26">
        <f>'Master (Filled)'!O168</f>
        <v>1361100</v>
      </c>
      <c r="E166" s="26">
        <f t="shared" si="8"/>
        <v>314908.78999999998</v>
      </c>
      <c r="F166" s="26">
        <v>8000</v>
      </c>
      <c r="G166" s="26">
        <v>11000</v>
      </c>
    </row>
    <row r="167" spans="1:7" x14ac:dyDescent="0.2">
      <c r="A167" s="23">
        <v>44987</v>
      </c>
      <c r="B167" s="25">
        <v>8</v>
      </c>
      <c r="C167" s="32">
        <f t="shared" si="7"/>
        <v>0.03</v>
      </c>
      <c r="D167" s="26">
        <f>'Master (Filled)'!O169</f>
        <v>1556100</v>
      </c>
      <c r="E167" s="26">
        <f t="shared" si="8"/>
        <v>359895.76</v>
      </c>
      <c r="F167" s="26">
        <v>8000</v>
      </c>
      <c r="G167" s="26">
        <v>11000</v>
      </c>
    </row>
    <row r="168" spans="1:7" x14ac:dyDescent="0.2">
      <c r="A168" s="23">
        <v>44987</v>
      </c>
      <c r="B168" s="25">
        <v>5</v>
      </c>
      <c r="C168" s="32">
        <f t="shared" si="7"/>
        <v>0.03</v>
      </c>
      <c r="D168" s="26">
        <f>'Master (Filled)'!O170</f>
        <v>373500</v>
      </c>
      <c r="E168" s="26">
        <f t="shared" si="8"/>
        <v>224934.85</v>
      </c>
      <c r="F168" s="26">
        <v>8000</v>
      </c>
      <c r="G168" s="26">
        <v>11000</v>
      </c>
    </row>
    <row r="169" spans="1:7" x14ac:dyDescent="0.2">
      <c r="A169" s="23">
        <v>44987</v>
      </c>
      <c r="B169" s="25">
        <v>4</v>
      </c>
      <c r="C169" s="32">
        <f t="shared" si="7"/>
        <v>0.03</v>
      </c>
      <c r="D169" s="26">
        <f>'Master (Filled)'!O171</f>
        <v>457700</v>
      </c>
      <c r="E169" s="26">
        <f t="shared" si="8"/>
        <v>179947.88</v>
      </c>
      <c r="F169" s="26">
        <v>8000</v>
      </c>
      <c r="G169" s="26">
        <v>11000</v>
      </c>
    </row>
    <row r="170" spans="1:7" x14ac:dyDescent="0.2">
      <c r="A170" s="23">
        <v>44987</v>
      </c>
      <c r="B170" s="25">
        <v>6</v>
      </c>
      <c r="C170" s="32">
        <f t="shared" si="7"/>
        <v>0.03</v>
      </c>
      <c r="D170" s="26">
        <f>'Master (Filled)'!O172</f>
        <v>328900</v>
      </c>
      <c r="E170" s="26">
        <f t="shared" si="8"/>
        <v>269921.82</v>
      </c>
      <c r="F170" s="26">
        <v>8000</v>
      </c>
      <c r="G170" s="26">
        <v>11000</v>
      </c>
    </row>
    <row r="171" spans="1:7" x14ac:dyDescent="0.2">
      <c r="A171" s="23">
        <v>44987</v>
      </c>
      <c r="B171" s="25">
        <v>8</v>
      </c>
      <c r="C171" s="32">
        <f t="shared" si="7"/>
        <v>0.03</v>
      </c>
      <c r="D171" s="26">
        <f>'Master (Filled)'!O173</f>
        <v>957600</v>
      </c>
      <c r="E171" s="26">
        <f t="shared" si="8"/>
        <v>359895.76</v>
      </c>
      <c r="F171" s="26">
        <v>8000</v>
      </c>
      <c r="G171" s="26">
        <v>11000</v>
      </c>
    </row>
    <row r="172" spans="1:7" x14ac:dyDescent="0.2">
      <c r="A172" s="23">
        <v>44988</v>
      </c>
      <c r="B172" s="25">
        <v>8</v>
      </c>
      <c r="C172" s="32">
        <f t="shared" si="7"/>
        <v>0.03</v>
      </c>
      <c r="D172" s="26">
        <f>'Master (Filled)'!O174</f>
        <v>598500</v>
      </c>
      <c r="E172" s="26">
        <f t="shared" si="8"/>
        <v>359903.76</v>
      </c>
      <c r="F172" s="26">
        <v>8000</v>
      </c>
      <c r="G172" s="26">
        <v>11000</v>
      </c>
    </row>
    <row r="173" spans="1:7" x14ac:dyDescent="0.2">
      <c r="A173" s="23">
        <v>44988</v>
      </c>
      <c r="B173" s="25">
        <v>9</v>
      </c>
      <c r="C173" s="32">
        <f t="shared" si="7"/>
        <v>0.03</v>
      </c>
      <c r="D173" s="26">
        <f>'Master (Filled)'!O175</f>
        <v>1749150</v>
      </c>
      <c r="E173" s="26">
        <f t="shared" si="8"/>
        <v>404891.73</v>
      </c>
      <c r="F173" s="26">
        <v>8000</v>
      </c>
      <c r="G173" s="26">
        <v>11000</v>
      </c>
    </row>
    <row r="174" spans="1:7" x14ac:dyDescent="0.2">
      <c r="A174" s="23">
        <v>44988</v>
      </c>
      <c r="B174" s="25">
        <v>11</v>
      </c>
      <c r="C174" s="32">
        <f t="shared" si="7"/>
        <v>0.03</v>
      </c>
      <c r="D174" s="26">
        <f>'Master (Filled)'!O176</f>
        <v>2139150</v>
      </c>
      <c r="E174" s="26">
        <f t="shared" si="8"/>
        <v>494867.67</v>
      </c>
      <c r="F174" s="26">
        <v>8000</v>
      </c>
      <c r="G174" s="26">
        <v>11000</v>
      </c>
    </row>
    <row r="175" spans="1:7" x14ac:dyDescent="0.2">
      <c r="A175" s="23">
        <v>44989</v>
      </c>
      <c r="B175" s="25">
        <v>10</v>
      </c>
      <c r="C175" s="32">
        <f t="shared" si="7"/>
        <v>0.03</v>
      </c>
      <c r="D175" s="26">
        <f>'Master (Filled)'!O177</f>
        <v>254235</v>
      </c>
      <c r="E175" s="26">
        <f t="shared" si="8"/>
        <v>449889.7</v>
      </c>
      <c r="F175" s="26">
        <v>8000</v>
      </c>
      <c r="G175" s="26">
        <v>11000</v>
      </c>
    </row>
    <row r="176" spans="1:7" x14ac:dyDescent="0.2">
      <c r="A176" s="23">
        <v>44989</v>
      </c>
      <c r="B176" s="25">
        <v>9</v>
      </c>
      <c r="C176" s="32">
        <f t="shared" si="7"/>
        <v>0.03</v>
      </c>
      <c r="D176" s="26">
        <f>'Master (Filled)'!O178</f>
        <v>228735</v>
      </c>
      <c r="E176" s="26">
        <f t="shared" si="8"/>
        <v>404900.73</v>
      </c>
      <c r="F176" s="26">
        <v>8000</v>
      </c>
      <c r="G176" s="26">
        <v>11000</v>
      </c>
    </row>
    <row r="177" spans="1:7" x14ac:dyDescent="0.2">
      <c r="A177" s="23">
        <v>44989</v>
      </c>
      <c r="B177" s="25">
        <v>5</v>
      </c>
      <c r="C177" s="32">
        <f t="shared" si="7"/>
        <v>0.03</v>
      </c>
      <c r="D177" s="26">
        <f>'Master (Filled)'!O179</f>
        <v>425790</v>
      </c>
      <c r="E177" s="26">
        <f t="shared" si="8"/>
        <v>224944.85</v>
      </c>
      <c r="F177" s="26">
        <v>8000</v>
      </c>
      <c r="G177" s="26">
        <v>11000</v>
      </c>
    </row>
    <row r="178" spans="1:7" x14ac:dyDescent="0.2">
      <c r="A178" s="23">
        <v>44989</v>
      </c>
      <c r="B178" s="25">
        <v>7</v>
      </c>
      <c r="C178" s="32">
        <f t="shared" si="7"/>
        <v>0.03</v>
      </c>
      <c r="D178" s="26">
        <f>'Master (Filled)'!O180</f>
        <v>1570500</v>
      </c>
      <c r="E178" s="26">
        <f t="shared" si="8"/>
        <v>314922.78999999998</v>
      </c>
      <c r="F178" s="26">
        <v>8000</v>
      </c>
      <c r="G178" s="26">
        <v>11000</v>
      </c>
    </row>
    <row r="179" spans="1:7" x14ac:dyDescent="0.2">
      <c r="A179" s="23">
        <v>44990</v>
      </c>
      <c r="B179" s="25">
        <v>7</v>
      </c>
      <c r="C179" s="32">
        <f t="shared" si="7"/>
        <v>0.03</v>
      </c>
      <c r="D179" s="26">
        <f>'Master (Filled)'!O181</f>
        <v>1570500</v>
      </c>
      <c r="E179" s="26">
        <f t="shared" si="8"/>
        <v>314929.78999999998</v>
      </c>
      <c r="F179" s="26">
        <v>8000</v>
      </c>
      <c r="G179" s="26">
        <v>11000</v>
      </c>
    </row>
    <row r="180" spans="1:7" x14ac:dyDescent="0.2">
      <c r="A180" s="23">
        <v>44990</v>
      </c>
      <c r="B180" s="25">
        <v>7</v>
      </c>
      <c r="C180" s="32">
        <f t="shared" si="7"/>
        <v>0.03</v>
      </c>
      <c r="D180" s="26">
        <f>'Master (Filled)'!O182</f>
        <v>1570500</v>
      </c>
      <c r="E180" s="26">
        <f t="shared" si="8"/>
        <v>314929.78999999998</v>
      </c>
      <c r="F180" s="26">
        <v>8000</v>
      </c>
      <c r="G180" s="26">
        <v>11000</v>
      </c>
    </row>
    <row r="181" spans="1:7" x14ac:dyDescent="0.2">
      <c r="A181" s="23">
        <v>44990</v>
      </c>
      <c r="B181" s="25">
        <v>8</v>
      </c>
      <c r="C181" s="32">
        <f t="shared" si="7"/>
        <v>0.03</v>
      </c>
      <c r="D181" s="26">
        <f>'Master (Filled)'!O183</f>
        <v>682290</v>
      </c>
      <c r="E181" s="26">
        <f t="shared" si="8"/>
        <v>359919.76</v>
      </c>
      <c r="F181" s="26">
        <v>8000</v>
      </c>
      <c r="G181" s="26">
        <v>11000</v>
      </c>
    </row>
  </sheetData>
  <autoFilter ref="A1:G181" xr:uid="{FF6D2B02-ECC3-904D-BCF5-893126B32AC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4BF0-1035-F54E-AB17-679FCAE13AB9}">
  <dimension ref="A1:B5"/>
  <sheetViews>
    <sheetView workbookViewId="0">
      <selection activeCell="B6" sqref="B6"/>
    </sheetView>
  </sheetViews>
  <sheetFormatPr baseColWidth="10" defaultRowHeight="16" x14ac:dyDescent="0.2"/>
  <sheetData>
    <row r="1" spans="1:2" x14ac:dyDescent="0.2">
      <c r="A1" t="s">
        <v>6</v>
      </c>
      <c r="B1" t="s">
        <v>382</v>
      </c>
    </row>
    <row r="2" spans="1:2" x14ac:dyDescent="0.2">
      <c r="A2" t="s">
        <v>275</v>
      </c>
      <c r="B2">
        <f>COUNTIF('Master (Filled)'!H4:H183,'Master (Filled)'!H13)</f>
        <v>53</v>
      </c>
    </row>
    <row r="3" spans="1:2" x14ac:dyDescent="0.2">
      <c r="A3" t="s">
        <v>380</v>
      </c>
      <c r="B3">
        <f>COUNTIF('Master (Filled)'!H4:H183,'Master (Filled)'!H8)</f>
        <v>47</v>
      </c>
    </row>
    <row r="4" spans="1:2" x14ac:dyDescent="0.2">
      <c r="A4" t="s">
        <v>381</v>
      </c>
      <c r="B4">
        <f>COUNTIF('Master (Filled)'!H4:H183,'Master (Filled)'!H16)</f>
        <v>34</v>
      </c>
    </row>
    <row r="5" spans="1:2" x14ac:dyDescent="0.2">
      <c r="A5" t="s">
        <v>280</v>
      </c>
      <c r="B5">
        <f>COUNTIF('Master (Filled)'!H4:H183,'Master (Filled)'!H4)</f>
        <v>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D588-1A3F-FA4D-B274-10243AA94811}">
  <dimension ref="A1:L181"/>
  <sheetViews>
    <sheetView workbookViewId="0">
      <selection activeCell="D24" sqref="D24"/>
    </sheetView>
  </sheetViews>
  <sheetFormatPr baseColWidth="10" defaultRowHeight="16" x14ac:dyDescent="0.2"/>
  <cols>
    <col min="1" max="1" width="12.1640625" customWidth="1"/>
    <col min="2" max="2" width="12" customWidth="1"/>
    <col min="3" max="3" width="28.5" customWidth="1"/>
    <col min="4" max="4" width="26.33203125" customWidth="1"/>
    <col min="5" max="5" width="11.1640625" customWidth="1"/>
    <col min="6" max="6" width="35" customWidth="1"/>
    <col min="7" max="7" width="24.5" customWidth="1"/>
    <col min="8" max="8" width="41.33203125" customWidth="1"/>
    <col min="9" max="9" width="35.6640625" customWidth="1"/>
    <col min="10" max="10" width="16.33203125" customWidth="1"/>
    <col min="11" max="12" width="19.6640625" customWidth="1"/>
  </cols>
  <sheetData>
    <row r="1" spans="1:12" ht="17" x14ac:dyDescent="0.2">
      <c r="A1" s="127" t="s">
        <v>1</v>
      </c>
      <c r="B1" s="102" t="s">
        <v>6</v>
      </c>
      <c r="C1" s="102" t="s">
        <v>7</v>
      </c>
      <c r="D1" s="102" t="s">
        <v>8</v>
      </c>
      <c r="E1" s="102" t="s">
        <v>10</v>
      </c>
      <c r="F1" s="118" t="s">
        <v>11</v>
      </c>
      <c r="G1" s="102" t="s">
        <v>12</v>
      </c>
      <c r="H1" s="102" t="s">
        <v>14</v>
      </c>
      <c r="I1" s="102" t="s">
        <v>7</v>
      </c>
      <c r="J1" s="102" t="s">
        <v>376</v>
      </c>
      <c r="K1" s="102" t="s">
        <v>377</v>
      </c>
      <c r="L1" s="102" t="s">
        <v>378</v>
      </c>
    </row>
    <row r="2" spans="1:12" x14ac:dyDescent="0.2">
      <c r="A2" s="125">
        <v>44959</v>
      </c>
      <c r="B2" s="9" t="s">
        <v>19</v>
      </c>
      <c r="C2" s="50" t="s">
        <v>280</v>
      </c>
      <c r="D2" s="50" t="s">
        <v>20</v>
      </c>
      <c r="E2" s="9">
        <v>5</v>
      </c>
      <c r="F2" s="47">
        <f>INDEX('Master (Filled)'!$Z$8:$Z$37,MATCH(D2,'Master (Filled)'!$Y$8:$Y$37,0))</f>
        <v>49999</v>
      </c>
      <c r="G2" s="119">
        <f t="shared" ref="G2:G65" si="0">IF(E2&gt;8,3%,2%)</f>
        <v>0.02</v>
      </c>
      <c r="H2" s="47">
        <f t="shared" ref="H2:H65" si="1">(E2*F2)-(F2*G2)</f>
        <v>248995.02</v>
      </c>
      <c r="I2" s="50" t="s">
        <v>280</v>
      </c>
      <c r="J2" s="124">
        <f>IF(D2="Food Product",700,IF(D2="Non Food Product",900,IF(D2="General Merchandise Product",855,755)))</f>
        <v>755</v>
      </c>
      <c r="K2" s="124">
        <f>SUMIF(Table1316[Category],Table14174[[#This Row],[Category]],Table1316[[Quantity ]])</f>
        <v>241</v>
      </c>
      <c r="L2" s="124">
        <f>Table14174[[#This Row],[Inventory]]-Table14174[[#This Row],[Update ]]</f>
        <v>514</v>
      </c>
    </row>
    <row r="3" spans="1:12" x14ac:dyDescent="0.2">
      <c r="A3" s="125">
        <v>44959</v>
      </c>
      <c r="B3" s="9" t="s">
        <v>24</v>
      </c>
      <c r="C3" s="50" t="s">
        <v>280</v>
      </c>
      <c r="D3" s="50" t="s">
        <v>25</v>
      </c>
      <c r="E3" s="9">
        <v>8</v>
      </c>
      <c r="F3" s="47">
        <f>INDEX('Master (Filled)'!$Z$8:$Z$37,MATCH(D3,'Master (Filled)'!$Y$8:$Y$37,0))</f>
        <v>69999</v>
      </c>
      <c r="G3" s="119">
        <f t="shared" si="0"/>
        <v>0.02</v>
      </c>
      <c r="H3" s="47">
        <f t="shared" si="1"/>
        <v>558592.02</v>
      </c>
      <c r="I3" s="50" t="s">
        <v>280</v>
      </c>
      <c r="J3" s="124">
        <f t="shared" ref="J3:J66" si="2">IF(D3="Food Product",700,IF(D3="Non Food Product",900,IF(D3="General Merchandise Product",855,755)))</f>
        <v>755</v>
      </c>
      <c r="K3" s="124">
        <f>SUMIF(Table1316[Category],Table14174[[#This Row],[Category]],Table1316[[Quantity ]])</f>
        <v>241</v>
      </c>
      <c r="L3" s="124">
        <f>Table14174[[#This Row],[Inventory]]-Table14174[[#This Row],[Update ]]</f>
        <v>514</v>
      </c>
    </row>
    <row r="4" spans="1:12" x14ac:dyDescent="0.2">
      <c r="A4" s="125">
        <v>44959</v>
      </c>
      <c r="B4" s="9" t="s">
        <v>19</v>
      </c>
      <c r="C4" s="50" t="s">
        <v>280</v>
      </c>
      <c r="D4" s="50" t="s">
        <v>20</v>
      </c>
      <c r="E4" s="9">
        <v>8</v>
      </c>
      <c r="F4" s="47">
        <f>INDEX('Master (Filled)'!$Z$8:$Z$37,MATCH(D4,'Master (Filled)'!$Y$8:$Y$37,0))</f>
        <v>49999</v>
      </c>
      <c r="G4" s="119">
        <f t="shared" si="0"/>
        <v>0.02</v>
      </c>
      <c r="H4" s="47">
        <f t="shared" si="1"/>
        <v>398992.02</v>
      </c>
      <c r="I4" s="50" t="s">
        <v>280</v>
      </c>
      <c r="J4" s="124">
        <f t="shared" si="2"/>
        <v>755</v>
      </c>
      <c r="K4" s="124">
        <f>SUMIF(Table1316[Category],Table14174[[#This Row],[Category]],Table1316[[Quantity ]])</f>
        <v>241</v>
      </c>
      <c r="L4" s="124">
        <f>Table14174[[#This Row],[Inventory]]-Table14174[[#This Row],[Update ]]</f>
        <v>514</v>
      </c>
    </row>
    <row r="5" spans="1:12" x14ac:dyDescent="0.2">
      <c r="A5" s="125">
        <v>44959</v>
      </c>
      <c r="B5" s="9" t="s">
        <v>31</v>
      </c>
      <c r="C5" s="50" t="s">
        <v>280</v>
      </c>
      <c r="D5" s="50" t="s">
        <v>32</v>
      </c>
      <c r="E5" s="9">
        <v>2</v>
      </c>
      <c r="F5" s="47">
        <f>INDEX('Master (Filled)'!$Z$8:$Z$37,MATCH(D5,'Master (Filled)'!$Y$8:$Y$37,0))</f>
        <v>25500</v>
      </c>
      <c r="G5" s="119">
        <f t="shared" si="0"/>
        <v>0.02</v>
      </c>
      <c r="H5" s="47">
        <f t="shared" si="1"/>
        <v>50490</v>
      </c>
      <c r="I5" s="50" t="s">
        <v>280</v>
      </c>
      <c r="J5" s="124">
        <f t="shared" si="2"/>
        <v>755</v>
      </c>
      <c r="K5" s="124">
        <f>SUMIF(Table1316[Category],Table14174[[#This Row],[Category]],Table1316[[Quantity ]])</f>
        <v>241</v>
      </c>
      <c r="L5" s="124">
        <f>Table14174[[#This Row],[Inventory]]-Table14174[[#This Row],[Update ]]</f>
        <v>514</v>
      </c>
    </row>
    <row r="6" spans="1:12" x14ac:dyDescent="0.2">
      <c r="A6" s="125">
        <v>44959</v>
      </c>
      <c r="B6" s="9" t="s">
        <v>36</v>
      </c>
      <c r="C6" s="50" t="s">
        <v>278</v>
      </c>
      <c r="D6" s="50" t="s">
        <v>37</v>
      </c>
      <c r="E6" s="9">
        <v>2</v>
      </c>
      <c r="F6" s="47">
        <f>INDEX('Master (Filled)'!$Z$8:$Z$37,MATCH(D6,'Master (Filled)'!$Y$8:$Y$37,0))</f>
        <v>195000</v>
      </c>
      <c r="G6" s="119">
        <f t="shared" si="0"/>
        <v>0.02</v>
      </c>
      <c r="H6" s="47">
        <f t="shared" si="1"/>
        <v>386100</v>
      </c>
      <c r="I6" s="50" t="s">
        <v>278</v>
      </c>
      <c r="J6" s="124">
        <f t="shared" si="2"/>
        <v>755</v>
      </c>
      <c r="K6" s="124">
        <f>SUMIF(Table1316[Category],Table14174[[#This Row],[Category]],Table1316[[Quantity ]])</f>
        <v>299</v>
      </c>
      <c r="L6" s="124">
        <f>Table14174[[#This Row],[Inventory]]-Table14174[[#This Row],[Update ]]</f>
        <v>456</v>
      </c>
    </row>
    <row r="7" spans="1:12" x14ac:dyDescent="0.2">
      <c r="A7" s="125">
        <v>44959</v>
      </c>
      <c r="B7" s="9" t="s">
        <v>40</v>
      </c>
      <c r="C7" s="50" t="s">
        <v>278</v>
      </c>
      <c r="D7" s="50" t="s">
        <v>41</v>
      </c>
      <c r="E7" s="9">
        <v>2</v>
      </c>
      <c r="F7" s="47">
        <f>INDEX('Master (Filled)'!$Z$8:$Z$37,MATCH(D7,'Master (Filled)'!$Y$8:$Y$37,0))</f>
        <v>85500</v>
      </c>
      <c r="G7" s="119">
        <f t="shared" si="0"/>
        <v>0.02</v>
      </c>
      <c r="H7" s="47">
        <f t="shared" si="1"/>
        <v>169290</v>
      </c>
      <c r="I7" s="50" t="s">
        <v>278</v>
      </c>
      <c r="J7" s="124">
        <f t="shared" si="2"/>
        <v>755</v>
      </c>
      <c r="K7" s="124">
        <f>SUMIF(Table1316[Category],Table14174[[#This Row],[Category]],Table1316[[Quantity ]])</f>
        <v>299</v>
      </c>
      <c r="L7" s="124">
        <f>Table14174[[#This Row],[Inventory]]-Table14174[[#This Row],[Update ]]</f>
        <v>456</v>
      </c>
    </row>
    <row r="8" spans="1:12" x14ac:dyDescent="0.2">
      <c r="A8" s="125">
        <v>44959</v>
      </c>
      <c r="B8" s="9" t="s">
        <v>40</v>
      </c>
      <c r="C8" s="50" t="s">
        <v>278</v>
      </c>
      <c r="D8" s="50" t="s">
        <v>41</v>
      </c>
      <c r="E8" s="9">
        <v>3</v>
      </c>
      <c r="F8" s="47">
        <f>INDEX('Master (Filled)'!$Z$8:$Z$37,MATCH(D8,'Master (Filled)'!$Y$8:$Y$37,0))</f>
        <v>85500</v>
      </c>
      <c r="G8" s="119">
        <f t="shared" si="0"/>
        <v>0.02</v>
      </c>
      <c r="H8" s="47">
        <f t="shared" si="1"/>
        <v>254790</v>
      </c>
      <c r="I8" s="50" t="s">
        <v>278</v>
      </c>
      <c r="J8" s="124">
        <f t="shared" si="2"/>
        <v>755</v>
      </c>
      <c r="K8" s="124">
        <f>SUMIF(Table1316[Category],Table14174[[#This Row],[Category]],Table1316[[Quantity ]])</f>
        <v>299</v>
      </c>
      <c r="L8" s="124">
        <f>Table14174[[#This Row],[Inventory]]-Table14174[[#This Row],[Update ]]</f>
        <v>456</v>
      </c>
    </row>
    <row r="9" spans="1:12" x14ac:dyDescent="0.2">
      <c r="A9" s="125">
        <v>44960</v>
      </c>
      <c r="B9" s="9" t="s">
        <v>46</v>
      </c>
      <c r="C9" s="50" t="s">
        <v>278</v>
      </c>
      <c r="D9" s="50" t="s">
        <v>37</v>
      </c>
      <c r="E9" s="9">
        <v>4</v>
      </c>
      <c r="F9" s="47">
        <f>INDEX('Master (Filled)'!$Z$8:$Z$37,MATCH(D9,'Master (Filled)'!$Y$8:$Y$37,0))</f>
        <v>195000</v>
      </c>
      <c r="G9" s="119">
        <f t="shared" si="0"/>
        <v>0.02</v>
      </c>
      <c r="H9" s="47">
        <f t="shared" si="1"/>
        <v>776100</v>
      </c>
      <c r="I9" s="50" t="s">
        <v>278</v>
      </c>
      <c r="J9" s="124">
        <f t="shared" si="2"/>
        <v>755</v>
      </c>
      <c r="K9" s="124">
        <f>SUMIF(Table1316[Category],Table14174[[#This Row],[Category]],Table1316[[Quantity ]])</f>
        <v>299</v>
      </c>
      <c r="L9" s="124">
        <f>Table14174[[#This Row],[Inventory]]-Table14174[[#This Row],[Update ]]</f>
        <v>456</v>
      </c>
    </row>
    <row r="10" spans="1:12" x14ac:dyDescent="0.2">
      <c r="A10" s="125">
        <v>44960</v>
      </c>
      <c r="B10" s="9" t="s">
        <v>36</v>
      </c>
      <c r="C10" s="50" t="s">
        <v>278</v>
      </c>
      <c r="D10" s="50" t="s">
        <v>37</v>
      </c>
      <c r="E10" s="9">
        <v>4</v>
      </c>
      <c r="F10" s="47">
        <f>INDEX('Master (Filled)'!$Z$8:$Z$37,MATCH(D10,'Master (Filled)'!$Y$8:$Y$37,0))</f>
        <v>195000</v>
      </c>
      <c r="G10" s="119">
        <f t="shared" si="0"/>
        <v>0.02</v>
      </c>
      <c r="H10" s="47">
        <f t="shared" si="1"/>
        <v>776100</v>
      </c>
      <c r="I10" s="50" t="s">
        <v>278</v>
      </c>
      <c r="J10" s="124">
        <f t="shared" si="2"/>
        <v>755</v>
      </c>
      <c r="K10" s="124">
        <f>SUMIF(Table1316[Category],Table14174[[#This Row],[Category]],Table1316[[Quantity ]])</f>
        <v>299</v>
      </c>
      <c r="L10" s="124">
        <f>Table14174[[#This Row],[Inventory]]-Table14174[[#This Row],[Update ]]</f>
        <v>456</v>
      </c>
    </row>
    <row r="11" spans="1:12" x14ac:dyDescent="0.2">
      <c r="A11" s="125">
        <v>44960</v>
      </c>
      <c r="B11" s="9" t="s">
        <v>52</v>
      </c>
      <c r="C11" s="50" t="s">
        <v>276</v>
      </c>
      <c r="D11" s="49" t="s">
        <v>53</v>
      </c>
      <c r="E11" s="9">
        <v>2</v>
      </c>
      <c r="F11" s="47">
        <f>INDEX('Master (Filled)'!$Z$8:$Z$37,MATCH(D11,'Master (Filled)'!$Y$8:$Y$37,0))</f>
        <v>85000</v>
      </c>
      <c r="G11" s="119">
        <f t="shared" si="0"/>
        <v>0.02</v>
      </c>
      <c r="H11" s="47">
        <f t="shared" si="1"/>
        <v>168300</v>
      </c>
      <c r="I11" s="50" t="s">
        <v>276</v>
      </c>
      <c r="J11" s="124">
        <f t="shared" si="2"/>
        <v>755</v>
      </c>
      <c r="K11" s="124">
        <f>SUMIF(Table1316[Category],Table14174[[#This Row],[Category]],Table1316[[Quantity ]])</f>
        <v>345</v>
      </c>
      <c r="L11" s="124">
        <f>Table14174[[#This Row],[Inventory]]-Table14174[[#This Row],[Update ]]</f>
        <v>410</v>
      </c>
    </row>
    <row r="12" spans="1:12" x14ac:dyDescent="0.2">
      <c r="A12" s="125">
        <v>44960</v>
      </c>
      <c r="B12" s="9" t="s">
        <v>56</v>
      </c>
      <c r="C12" s="50" t="s">
        <v>276</v>
      </c>
      <c r="D12" s="49" t="s">
        <v>53</v>
      </c>
      <c r="E12" s="9">
        <v>3</v>
      </c>
      <c r="F12" s="47">
        <f>INDEX('Master (Filled)'!$Z$8:$Z$37,MATCH(D12,'Master (Filled)'!$Y$8:$Y$37,0))</f>
        <v>85000</v>
      </c>
      <c r="G12" s="119">
        <f t="shared" si="0"/>
        <v>0.02</v>
      </c>
      <c r="H12" s="47">
        <f t="shared" si="1"/>
        <v>253300</v>
      </c>
      <c r="I12" s="50" t="s">
        <v>276</v>
      </c>
      <c r="J12" s="124">
        <f t="shared" si="2"/>
        <v>755</v>
      </c>
      <c r="K12" s="124">
        <f>SUMIF(Table1316[Category],Table14174[[#This Row],[Category]],Table1316[[Quantity ]])</f>
        <v>345</v>
      </c>
      <c r="L12" s="124">
        <f>Table14174[[#This Row],[Inventory]]-Table14174[[#This Row],[Update ]]</f>
        <v>410</v>
      </c>
    </row>
    <row r="13" spans="1:12" x14ac:dyDescent="0.2">
      <c r="A13" s="125">
        <v>44960</v>
      </c>
      <c r="B13" s="9" t="s">
        <v>59</v>
      </c>
      <c r="C13" s="50" t="s">
        <v>276</v>
      </c>
      <c r="D13" s="49" t="s">
        <v>53</v>
      </c>
      <c r="E13" s="9">
        <v>2</v>
      </c>
      <c r="F13" s="47">
        <f>INDEX('Master (Filled)'!$Z$8:$Z$37,MATCH(D13,'Master (Filled)'!$Y$8:$Y$37,0))</f>
        <v>85000</v>
      </c>
      <c r="G13" s="119">
        <f t="shared" si="0"/>
        <v>0.02</v>
      </c>
      <c r="H13" s="47">
        <f t="shared" si="1"/>
        <v>168300</v>
      </c>
      <c r="I13" s="50" t="s">
        <v>276</v>
      </c>
      <c r="J13" s="124">
        <f t="shared" si="2"/>
        <v>755</v>
      </c>
      <c r="K13" s="124">
        <f>SUMIF(Table1316[Category],Table14174[[#This Row],[Category]],Table1316[[Quantity ]])</f>
        <v>345</v>
      </c>
      <c r="L13" s="124">
        <f>Table14174[[#This Row],[Inventory]]-Table14174[[#This Row],[Update ]]</f>
        <v>410</v>
      </c>
    </row>
    <row r="14" spans="1:12" x14ac:dyDescent="0.2">
      <c r="A14" s="125">
        <v>44960</v>
      </c>
      <c r="B14" s="9" t="s">
        <v>61</v>
      </c>
      <c r="C14" s="50" t="s">
        <v>282</v>
      </c>
      <c r="D14" s="49" t="s">
        <v>62</v>
      </c>
      <c r="E14" s="9">
        <v>2</v>
      </c>
      <c r="F14" s="47">
        <f>INDEX('Master (Filled)'!$Z$8:$Z$37,MATCH(D14,'Master (Filled)'!$Y$8:$Y$37,0))</f>
        <v>75000</v>
      </c>
      <c r="G14" s="119">
        <f t="shared" si="0"/>
        <v>0.02</v>
      </c>
      <c r="H14" s="47">
        <f t="shared" si="1"/>
        <v>148500</v>
      </c>
      <c r="I14" s="50" t="s">
        <v>282</v>
      </c>
      <c r="J14" s="124">
        <f t="shared" si="2"/>
        <v>755</v>
      </c>
      <c r="K14" s="124">
        <f>SUMIF(Table1316[Category],Table14174[[#This Row],[Category]],Table1316[[Quantity ]])</f>
        <v>215</v>
      </c>
      <c r="L14" s="124">
        <f>Table14174[[#This Row],[Inventory]]-Table14174[[#This Row],[Update ]]</f>
        <v>540</v>
      </c>
    </row>
    <row r="15" spans="1:12" x14ac:dyDescent="0.2">
      <c r="A15" s="125">
        <v>44960</v>
      </c>
      <c r="B15" s="9" t="s">
        <v>61</v>
      </c>
      <c r="C15" s="50" t="s">
        <v>282</v>
      </c>
      <c r="D15" s="49" t="s">
        <v>64</v>
      </c>
      <c r="E15" s="9">
        <v>3</v>
      </c>
      <c r="F15" s="47">
        <f>INDEX('Master (Filled)'!$Z$8:$Z$37,MATCH(D15,'Master (Filled)'!$Y$8:$Y$37,0))</f>
        <v>85000</v>
      </c>
      <c r="G15" s="119">
        <f t="shared" si="0"/>
        <v>0.02</v>
      </c>
      <c r="H15" s="47">
        <f t="shared" si="1"/>
        <v>253300</v>
      </c>
      <c r="I15" s="50" t="s">
        <v>282</v>
      </c>
      <c r="J15" s="124">
        <f t="shared" si="2"/>
        <v>755</v>
      </c>
      <c r="K15" s="124">
        <f>SUMIF(Table1316[Category],Table14174[[#This Row],[Category]],Table1316[[Quantity ]])</f>
        <v>215</v>
      </c>
      <c r="L15" s="124">
        <f>Table14174[[#This Row],[Inventory]]-Table14174[[#This Row],[Update ]]</f>
        <v>540</v>
      </c>
    </row>
    <row r="16" spans="1:12" x14ac:dyDescent="0.2">
      <c r="A16" s="125">
        <v>44960</v>
      </c>
      <c r="B16" s="9" t="s">
        <v>67</v>
      </c>
      <c r="C16" s="50" t="s">
        <v>282</v>
      </c>
      <c r="D16" s="49" t="s">
        <v>64</v>
      </c>
      <c r="E16" s="9">
        <v>3</v>
      </c>
      <c r="F16" s="47">
        <f>INDEX('Master (Filled)'!$Z$8:$Z$37,MATCH(D16,'Master (Filled)'!$Y$8:$Y$37,0))</f>
        <v>85000</v>
      </c>
      <c r="G16" s="119">
        <f t="shared" si="0"/>
        <v>0.02</v>
      </c>
      <c r="H16" s="47">
        <f t="shared" si="1"/>
        <v>253300</v>
      </c>
      <c r="I16" s="50" t="s">
        <v>282</v>
      </c>
      <c r="J16" s="124">
        <f t="shared" si="2"/>
        <v>755</v>
      </c>
      <c r="K16" s="124">
        <f>SUMIF(Table1316[Category],Table14174[[#This Row],[Category]],Table1316[[Quantity ]])</f>
        <v>215</v>
      </c>
      <c r="L16" s="124">
        <f>Table14174[[#This Row],[Inventory]]-Table14174[[#This Row],[Update ]]</f>
        <v>540</v>
      </c>
    </row>
    <row r="17" spans="1:12" x14ac:dyDescent="0.2">
      <c r="A17" s="125">
        <v>44960</v>
      </c>
      <c r="B17" s="9" t="s">
        <v>67</v>
      </c>
      <c r="C17" s="50" t="s">
        <v>282</v>
      </c>
      <c r="D17" s="49" t="s">
        <v>64</v>
      </c>
      <c r="E17" s="9">
        <v>7</v>
      </c>
      <c r="F17" s="47">
        <f>INDEX('Master (Filled)'!$Z$8:$Z$37,MATCH(D17,'Master (Filled)'!$Y$8:$Y$37,0))</f>
        <v>85000</v>
      </c>
      <c r="G17" s="119">
        <f t="shared" si="0"/>
        <v>0.02</v>
      </c>
      <c r="H17" s="47">
        <f t="shared" si="1"/>
        <v>593300</v>
      </c>
      <c r="I17" s="50" t="s">
        <v>282</v>
      </c>
      <c r="J17" s="124">
        <f t="shared" si="2"/>
        <v>755</v>
      </c>
      <c r="K17" s="124">
        <f>SUMIF(Table1316[Category],Table14174[[#This Row],[Category]],Table1316[[Quantity ]])</f>
        <v>215</v>
      </c>
      <c r="L17" s="124">
        <f>Table14174[[#This Row],[Inventory]]-Table14174[[#This Row],[Update ]]</f>
        <v>540</v>
      </c>
    </row>
    <row r="18" spans="1:12" x14ac:dyDescent="0.2">
      <c r="A18" s="125">
        <v>44960</v>
      </c>
      <c r="B18" s="9" t="s">
        <v>67</v>
      </c>
      <c r="C18" s="50" t="s">
        <v>282</v>
      </c>
      <c r="D18" s="49" t="s">
        <v>72</v>
      </c>
      <c r="E18" s="9">
        <v>8</v>
      </c>
      <c r="F18" s="47">
        <f>INDEX('Master (Filled)'!$Z$8:$Z$37,MATCH(D18,'Master (Filled)'!$Y$8:$Y$37,0))</f>
        <v>110500</v>
      </c>
      <c r="G18" s="119">
        <f t="shared" si="0"/>
        <v>0.02</v>
      </c>
      <c r="H18" s="47">
        <f t="shared" si="1"/>
        <v>881790</v>
      </c>
      <c r="I18" s="50" t="s">
        <v>282</v>
      </c>
      <c r="J18" s="124">
        <f t="shared" si="2"/>
        <v>755</v>
      </c>
      <c r="K18" s="124">
        <f>SUMIF(Table1316[Category],Table14174[[#This Row],[Category]],Table1316[[Quantity ]])</f>
        <v>215</v>
      </c>
      <c r="L18" s="124">
        <f>Table14174[[#This Row],[Inventory]]-Table14174[[#This Row],[Update ]]</f>
        <v>540</v>
      </c>
    </row>
    <row r="19" spans="1:12" x14ac:dyDescent="0.2">
      <c r="A19" s="125">
        <v>44961</v>
      </c>
      <c r="B19" s="9" t="s">
        <v>67</v>
      </c>
      <c r="C19" s="50" t="s">
        <v>282</v>
      </c>
      <c r="D19" s="49" t="s">
        <v>62</v>
      </c>
      <c r="E19" s="9">
        <v>12</v>
      </c>
      <c r="F19" s="47">
        <f>INDEX('Master (Filled)'!$Z$8:$Z$37,MATCH(D19,'Master (Filled)'!$Y$8:$Y$37,0))</f>
        <v>75000</v>
      </c>
      <c r="G19" s="119">
        <f t="shared" si="0"/>
        <v>0.03</v>
      </c>
      <c r="H19" s="47">
        <f t="shared" si="1"/>
        <v>897750</v>
      </c>
      <c r="I19" s="50" t="s">
        <v>282</v>
      </c>
      <c r="J19" s="124">
        <f t="shared" si="2"/>
        <v>755</v>
      </c>
      <c r="K19" s="124">
        <f>SUMIF(Table1316[Category],Table14174[[#This Row],[Category]],Table1316[[Quantity ]])</f>
        <v>215</v>
      </c>
      <c r="L19" s="124">
        <f>Table14174[[#This Row],[Inventory]]-Table14174[[#This Row],[Update ]]</f>
        <v>540</v>
      </c>
    </row>
    <row r="20" spans="1:12" x14ac:dyDescent="0.2">
      <c r="A20" s="125">
        <v>44961</v>
      </c>
      <c r="B20" s="9" t="s">
        <v>77</v>
      </c>
      <c r="C20" s="50" t="s">
        <v>282</v>
      </c>
      <c r="D20" s="49" t="s">
        <v>78</v>
      </c>
      <c r="E20" s="9">
        <v>12</v>
      </c>
      <c r="F20" s="47">
        <f>INDEX('Master (Filled)'!$Z$8:$Z$37,MATCH(D20,'Master (Filled)'!$Y$8:$Y$37,0))</f>
        <v>135500</v>
      </c>
      <c r="G20" s="119">
        <f t="shared" si="0"/>
        <v>0.03</v>
      </c>
      <c r="H20" s="47">
        <f t="shared" si="1"/>
        <v>1621935</v>
      </c>
      <c r="I20" s="50" t="s">
        <v>282</v>
      </c>
      <c r="J20" s="124">
        <f t="shared" si="2"/>
        <v>755</v>
      </c>
      <c r="K20" s="124">
        <f>SUMIF(Table1316[Category],Table14174[[#This Row],[Category]],Table1316[[Quantity ]])</f>
        <v>215</v>
      </c>
      <c r="L20" s="124">
        <f>Table14174[[#This Row],[Inventory]]-Table14174[[#This Row],[Update ]]</f>
        <v>540</v>
      </c>
    </row>
    <row r="21" spans="1:12" x14ac:dyDescent="0.2">
      <c r="A21" s="125">
        <v>44961</v>
      </c>
      <c r="B21" s="9" t="s">
        <v>80</v>
      </c>
      <c r="C21" s="50" t="s">
        <v>282</v>
      </c>
      <c r="D21" s="49" t="s">
        <v>78</v>
      </c>
      <c r="E21" s="9">
        <v>11</v>
      </c>
      <c r="F21" s="47">
        <f>INDEX('Master (Filled)'!$Z$8:$Z$37,MATCH(D21,'Master (Filled)'!$Y$8:$Y$37,0))</f>
        <v>135500</v>
      </c>
      <c r="G21" s="119">
        <f t="shared" si="0"/>
        <v>0.03</v>
      </c>
      <c r="H21" s="47">
        <f t="shared" si="1"/>
        <v>1486435</v>
      </c>
      <c r="I21" s="50" t="s">
        <v>282</v>
      </c>
      <c r="J21" s="124">
        <f t="shared" si="2"/>
        <v>755</v>
      </c>
      <c r="K21" s="124">
        <f>SUMIF(Table1316[Category],Table14174[[#This Row],[Category]],Table1316[[Quantity ]])</f>
        <v>215</v>
      </c>
      <c r="L21" s="124">
        <f>Table14174[[#This Row],[Inventory]]-Table14174[[#This Row],[Update ]]</f>
        <v>540</v>
      </c>
    </row>
    <row r="22" spans="1:12" x14ac:dyDescent="0.2">
      <c r="A22" s="125">
        <v>44962</v>
      </c>
      <c r="B22" s="9" t="s">
        <v>61</v>
      </c>
      <c r="C22" s="50" t="s">
        <v>282</v>
      </c>
      <c r="D22" s="49" t="s">
        <v>83</v>
      </c>
      <c r="E22" s="9">
        <v>9</v>
      </c>
      <c r="F22" s="47">
        <f>INDEX('Master (Filled)'!$Z$8:$Z$37,MATCH(D22,'Master (Filled)'!$Y$8:$Y$37,0))</f>
        <v>55500</v>
      </c>
      <c r="G22" s="119">
        <f t="shared" si="0"/>
        <v>0.03</v>
      </c>
      <c r="H22" s="47">
        <f t="shared" si="1"/>
        <v>497835</v>
      </c>
      <c r="I22" s="50" t="s">
        <v>282</v>
      </c>
      <c r="J22" s="124">
        <f t="shared" si="2"/>
        <v>755</v>
      </c>
      <c r="K22" s="124">
        <f>SUMIF(Table1316[Category],Table14174[[#This Row],[Category]],Table1316[[Quantity ]])</f>
        <v>215</v>
      </c>
      <c r="L22" s="124">
        <f>Table14174[[#This Row],[Inventory]]-Table14174[[#This Row],[Update ]]</f>
        <v>540</v>
      </c>
    </row>
    <row r="23" spans="1:12" x14ac:dyDescent="0.2">
      <c r="A23" s="125">
        <v>44962</v>
      </c>
      <c r="B23" s="9" t="s">
        <v>59</v>
      </c>
      <c r="C23" s="50" t="s">
        <v>276</v>
      </c>
      <c r="D23" s="49" t="s">
        <v>85</v>
      </c>
      <c r="E23" s="9">
        <v>9</v>
      </c>
      <c r="F23" s="47">
        <f>INDEX('Master (Filled)'!$Z$8:$Z$37,MATCH(D23,'Master (Filled)'!$Y$8:$Y$37,0))</f>
        <v>85000</v>
      </c>
      <c r="G23" s="119">
        <f t="shared" si="0"/>
        <v>0.03</v>
      </c>
      <c r="H23" s="47">
        <f t="shared" si="1"/>
        <v>762450</v>
      </c>
      <c r="I23" s="50" t="s">
        <v>276</v>
      </c>
      <c r="J23" s="124">
        <f t="shared" si="2"/>
        <v>755</v>
      </c>
      <c r="K23" s="124">
        <f>SUMIF(Table1316[Category],Table14174[[#This Row],[Category]],Table1316[[Quantity ]])</f>
        <v>345</v>
      </c>
      <c r="L23" s="124">
        <f>Table14174[[#This Row],[Inventory]]-Table14174[[#This Row],[Update ]]</f>
        <v>410</v>
      </c>
    </row>
    <row r="24" spans="1:12" x14ac:dyDescent="0.2">
      <c r="A24" s="125">
        <v>44962</v>
      </c>
      <c r="B24" s="9" t="s">
        <v>88</v>
      </c>
      <c r="C24" s="50" t="s">
        <v>276</v>
      </c>
      <c r="D24" s="49" t="s">
        <v>89</v>
      </c>
      <c r="E24" s="9">
        <v>5</v>
      </c>
      <c r="F24" s="47">
        <f>INDEX('Master (Filled)'!$Z$8:$Z$37,MATCH(D24,'Master (Filled)'!$Y$8:$Y$37,0))</f>
        <v>155000</v>
      </c>
      <c r="G24" s="119">
        <f t="shared" si="0"/>
        <v>0.02</v>
      </c>
      <c r="H24" s="47">
        <f t="shared" si="1"/>
        <v>771900</v>
      </c>
      <c r="I24" s="50" t="s">
        <v>276</v>
      </c>
      <c r="J24" s="124">
        <f t="shared" si="2"/>
        <v>755</v>
      </c>
      <c r="K24" s="124">
        <f>SUMIF(Table1316[Category],Table14174[[#This Row],[Category]],Table1316[[Quantity ]])</f>
        <v>345</v>
      </c>
      <c r="L24" s="124">
        <f>Table14174[[#This Row],[Inventory]]-Table14174[[#This Row],[Update ]]</f>
        <v>410</v>
      </c>
    </row>
    <row r="25" spans="1:12" x14ac:dyDescent="0.2">
      <c r="A25" s="125">
        <v>44962</v>
      </c>
      <c r="B25" s="9" t="s">
        <v>56</v>
      </c>
      <c r="C25" s="50" t="s">
        <v>276</v>
      </c>
      <c r="D25" s="49" t="s">
        <v>92</v>
      </c>
      <c r="E25" s="9">
        <v>4</v>
      </c>
      <c r="F25" s="47">
        <f>INDEX('Master (Filled)'!$Z$8:$Z$37,MATCH(D25,'Master (Filled)'!$Y$8:$Y$37,0))</f>
        <v>55000</v>
      </c>
      <c r="G25" s="119">
        <f t="shared" si="0"/>
        <v>0.02</v>
      </c>
      <c r="H25" s="47">
        <f t="shared" si="1"/>
        <v>218900</v>
      </c>
      <c r="I25" s="50" t="s">
        <v>276</v>
      </c>
      <c r="J25" s="124">
        <f t="shared" si="2"/>
        <v>755</v>
      </c>
      <c r="K25" s="124">
        <f>SUMIF(Table1316[Category],Table14174[[#This Row],[Category]],Table1316[[Quantity ]])</f>
        <v>345</v>
      </c>
      <c r="L25" s="124">
        <f>Table14174[[#This Row],[Inventory]]-Table14174[[#This Row],[Update ]]</f>
        <v>410</v>
      </c>
    </row>
    <row r="26" spans="1:12" x14ac:dyDescent="0.2">
      <c r="A26" s="125">
        <v>44962</v>
      </c>
      <c r="B26" s="9" t="s">
        <v>56</v>
      </c>
      <c r="C26" s="50" t="s">
        <v>276</v>
      </c>
      <c r="D26" s="49" t="s">
        <v>89</v>
      </c>
      <c r="E26" s="9">
        <v>3</v>
      </c>
      <c r="F26" s="47">
        <f>INDEX('Master (Filled)'!$Z$8:$Z$37,MATCH(D26,'Master (Filled)'!$Y$8:$Y$37,0))</f>
        <v>155000</v>
      </c>
      <c r="G26" s="119">
        <f t="shared" si="0"/>
        <v>0.02</v>
      </c>
      <c r="H26" s="47">
        <f t="shared" si="1"/>
        <v>461900</v>
      </c>
      <c r="I26" s="50" t="s">
        <v>276</v>
      </c>
      <c r="J26" s="124">
        <f t="shared" si="2"/>
        <v>755</v>
      </c>
      <c r="K26" s="124">
        <f>SUMIF(Table1316[Category],Table14174[[#This Row],[Category]],Table1316[[Quantity ]])</f>
        <v>345</v>
      </c>
      <c r="L26" s="124">
        <f>Table14174[[#This Row],[Inventory]]-Table14174[[#This Row],[Update ]]</f>
        <v>410</v>
      </c>
    </row>
    <row r="27" spans="1:12" x14ac:dyDescent="0.2">
      <c r="A27" s="125">
        <v>44962</v>
      </c>
      <c r="B27" s="9" t="s">
        <v>56</v>
      </c>
      <c r="C27" s="50" t="s">
        <v>276</v>
      </c>
      <c r="D27" s="49" t="s">
        <v>92</v>
      </c>
      <c r="E27" s="9">
        <v>2</v>
      </c>
      <c r="F27" s="47">
        <f>INDEX('Master (Filled)'!$Z$8:$Z$37,MATCH(D27,'Master (Filled)'!$Y$8:$Y$37,0))</f>
        <v>55000</v>
      </c>
      <c r="G27" s="119">
        <f t="shared" si="0"/>
        <v>0.02</v>
      </c>
      <c r="H27" s="47">
        <f t="shared" si="1"/>
        <v>108900</v>
      </c>
      <c r="I27" s="50" t="s">
        <v>276</v>
      </c>
      <c r="J27" s="124">
        <f t="shared" si="2"/>
        <v>755</v>
      </c>
      <c r="K27" s="124">
        <f>SUMIF(Table1316[Category],Table14174[[#This Row],[Category]],Table1316[[Quantity ]])</f>
        <v>345</v>
      </c>
      <c r="L27" s="124">
        <f>Table14174[[#This Row],[Inventory]]-Table14174[[#This Row],[Update ]]</f>
        <v>410</v>
      </c>
    </row>
    <row r="28" spans="1:12" x14ac:dyDescent="0.2">
      <c r="A28" s="125">
        <v>44962</v>
      </c>
      <c r="B28" s="9" t="s">
        <v>52</v>
      </c>
      <c r="C28" s="50" t="s">
        <v>276</v>
      </c>
      <c r="D28" s="49" t="s">
        <v>99</v>
      </c>
      <c r="E28" s="9">
        <v>3</v>
      </c>
      <c r="F28" s="47">
        <f>INDEX('Master (Filled)'!$Z$8:$Z$37,MATCH(D28,'Master (Filled)'!$Y$8:$Y$37,0))</f>
        <v>185000</v>
      </c>
      <c r="G28" s="119">
        <f t="shared" si="0"/>
        <v>0.02</v>
      </c>
      <c r="H28" s="47">
        <f t="shared" si="1"/>
        <v>551300</v>
      </c>
      <c r="I28" s="50" t="s">
        <v>276</v>
      </c>
      <c r="J28" s="124">
        <f t="shared" si="2"/>
        <v>755</v>
      </c>
      <c r="K28" s="124">
        <f>SUMIF(Table1316[Category],Table14174[[#This Row],[Category]],Table1316[[Quantity ]])</f>
        <v>345</v>
      </c>
      <c r="L28" s="124">
        <f>Table14174[[#This Row],[Inventory]]-Table14174[[#This Row],[Update ]]</f>
        <v>410</v>
      </c>
    </row>
    <row r="29" spans="1:12" x14ac:dyDescent="0.2">
      <c r="A29" s="125">
        <v>44962</v>
      </c>
      <c r="B29" s="9" t="s">
        <v>52</v>
      </c>
      <c r="C29" s="50" t="s">
        <v>276</v>
      </c>
      <c r="D29" s="49" t="s">
        <v>101</v>
      </c>
      <c r="E29" s="9">
        <v>3</v>
      </c>
      <c r="F29" s="47">
        <f>INDEX('Master (Filled)'!$Z$8:$Z$37,MATCH(D29,'Master (Filled)'!$Y$8:$Y$37,0))</f>
        <v>170000</v>
      </c>
      <c r="G29" s="119">
        <f t="shared" si="0"/>
        <v>0.02</v>
      </c>
      <c r="H29" s="47">
        <f t="shared" si="1"/>
        <v>506600</v>
      </c>
      <c r="I29" s="50" t="s">
        <v>276</v>
      </c>
      <c r="J29" s="124">
        <f t="shared" si="2"/>
        <v>755</v>
      </c>
      <c r="K29" s="124">
        <f>SUMIF(Table1316[Category],Table14174[[#This Row],[Category]],Table1316[[Quantity ]])</f>
        <v>345</v>
      </c>
      <c r="L29" s="124">
        <f>Table14174[[#This Row],[Inventory]]-Table14174[[#This Row],[Update ]]</f>
        <v>410</v>
      </c>
    </row>
    <row r="30" spans="1:12" x14ac:dyDescent="0.2">
      <c r="A30" s="125">
        <v>44962</v>
      </c>
      <c r="B30" s="9" t="s">
        <v>103</v>
      </c>
      <c r="C30" s="50" t="s">
        <v>278</v>
      </c>
      <c r="D30" s="50" t="s">
        <v>104</v>
      </c>
      <c r="E30" s="9">
        <v>3</v>
      </c>
      <c r="F30" s="47">
        <f>INDEX('Master (Filled)'!$Z$8:$Z$37,MATCH(D30,'Master (Filled)'!$Y$8:$Y$37,0))</f>
        <v>225000</v>
      </c>
      <c r="G30" s="119">
        <f t="shared" si="0"/>
        <v>0.02</v>
      </c>
      <c r="H30" s="47">
        <f t="shared" si="1"/>
        <v>670500</v>
      </c>
      <c r="I30" s="50" t="s">
        <v>278</v>
      </c>
      <c r="J30" s="124">
        <f t="shared" si="2"/>
        <v>755</v>
      </c>
      <c r="K30" s="124">
        <f>SUMIF(Table1316[Category],Table14174[[#This Row],[Category]],Table1316[[Quantity ]])</f>
        <v>299</v>
      </c>
      <c r="L30" s="124">
        <f>Table14174[[#This Row],[Inventory]]-Table14174[[#This Row],[Update ]]</f>
        <v>456</v>
      </c>
    </row>
    <row r="31" spans="1:12" x14ac:dyDescent="0.2">
      <c r="A31" s="125">
        <v>44962</v>
      </c>
      <c r="B31" s="9" t="s">
        <v>103</v>
      </c>
      <c r="C31" s="50" t="s">
        <v>278</v>
      </c>
      <c r="D31" s="50" t="s">
        <v>106</v>
      </c>
      <c r="E31" s="9">
        <v>2</v>
      </c>
      <c r="F31" s="47">
        <f>INDEX('Master (Filled)'!$Z$8:$Z$37,MATCH(D31,'Master (Filled)'!$Y$8:$Y$37,0))</f>
        <v>45500</v>
      </c>
      <c r="G31" s="119">
        <f t="shared" si="0"/>
        <v>0.02</v>
      </c>
      <c r="H31" s="47">
        <f t="shared" si="1"/>
        <v>90090</v>
      </c>
      <c r="I31" s="50" t="s">
        <v>278</v>
      </c>
      <c r="J31" s="124">
        <f t="shared" si="2"/>
        <v>755</v>
      </c>
      <c r="K31" s="124">
        <f>SUMIF(Table1316[Category],Table14174[[#This Row],[Category]],Table1316[[Quantity ]])</f>
        <v>299</v>
      </c>
      <c r="L31" s="124">
        <f>Table14174[[#This Row],[Inventory]]-Table14174[[#This Row],[Update ]]</f>
        <v>456</v>
      </c>
    </row>
    <row r="32" spans="1:12" x14ac:dyDescent="0.2">
      <c r="A32" s="125">
        <v>44962</v>
      </c>
      <c r="B32" s="9" t="s">
        <v>40</v>
      </c>
      <c r="C32" s="50" t="s">
        <v>278</v>
      </c>
      <c r="D32" s="50" t="s">
        <v>104</v>
      </c>
      <c r="E32" s="9">
        <v>2</v>
      </c>
      <c r="F32" s="47">
        <f>INDEX('Master (Filled)'!$Z$8:$Z$37,MATCH(D32,'Master (Filled)'!$Y$8:$Y$37,0))</f>
        <v>225000</v>
      </c>
      <c r="G32" s="119">
        <f t="shared" si="0"/>
        <v>0.02</v>
      </c>
      <c r="H32" s="47">
        <f t="shared" si="1"/>
        <v>445500</v>
      </c>
      <c r="I32" s="50" t="s">
        <v>278</v>
      </c>
      <c r="J32" s="124">
        <f t="shared" si="2"/>
        <v>755</v>
      </c>
      <c r="K32" s="124">
        <f>SUMIF(Table1316[Category],Table14174[[#This Row],[Category]],Table1316[[Quantity ]])</f>
        <v>299</v>
      </c>
      <c r="L32" s="124">
        <f>Table14174[[#This Row],[Inventory]]-Table14174[[#This Row],[Update ]]</f>
        <v>456</v>
      </c>
    </row>
    <row r="33" spans="1:12" x14ac:dyDescent="0.2">
      <c r="A33" s="125">
        <v>44962</v>
      </c>
      <c r="B33" s="9" t="s">
        <v>46</v>
      </c>
      <c r="C33" s="50" t="s">
        <v>278</v>
      </c>
      <c r="D33" s="50" t="s">
        <v>106</v>
      </c>
      <c r="E33" s="9">
        <v>4</v>
      </c>
      <c r="F33" s="47">
        <f>INDEX('Master (Filled)'!$Z$8:$Z$37,MATCH(D33,'Master (Filled)'!$Y$8:$Y$37,0))</f>
        <v>45500</v>
      </c>
      <c r="G33" s="119">
        <f t="shared" si="0"/>
        <v>0.02</v>
      </c>
      <c r="H33" s="47">
        <f t="shared" si="1"/>
        <v>181090</v>
      </c>
      <c r="I33" s="50" t="s">
        <v>278</v>
      </c>
      <c r="J33" s="124">
        <f t="shared" si="2"/>
        <v>755</v>
      </c>
      <c r="K33" s="124">
        <f>SUMIF(Table1316[Category],Table14174[[#This Row],[Category]],Table1316[[Quantity ]])</f>
        <v>299</v>
      </c>
      <c r="L33" s="124">
        <f>Table14174[[#This Row],[Inventory]]-Table14174[[#This Row],[Update ]]</f>
        <v>456</v>
      </c>
    </row>
    <row r="34" spans="1:12" x14ac:dyDescent="0.2">
      <c r="A34" s="125">
        <v>44962</v>
      </c>
      <c r="B34" s="9" t="s">
        <v>110</v>
      </c>
      <c r="C34" s="50" t="s">
        <v>280</v>
      </c>
      <c r="D34" s="50" t="s">
        <v>111</v>
      </c>
      <c r="E34" s="9">
        <v>4</v>
      </c>
      <c r="F34" s="47">
        <f>INDEX('Master (Filled)'!$Z$8:$Z$37,MATCH(D34,'Master (Filled)'!$Y$8:$Y$37,0))</f>
        <v>45555</v>
      </c>
      <c r="G34" s="119">
        <f t="shared" si="0"/>
        <v>0.02</v>
      </c>
      <c r="H34" s="47">
        <f t="shared" si="1"/>
        <v>181308.9</v>
      </c>
      <c r="I34" s="50" t="s">
        <v>280</v>
      </c>
      <c r="J34" s="124">
        <f t="shared" si="2"/>
        <v>755</v>
      </c>
      <c r="K34" s="124">
        <f>SUMIF(Table1316[Category],Table14174[[#This Row],[Category]],Table1316[[Quantity ]])</f>
        <v>241</v>
      </c>
      <c r="L34" s="124">
        <f>Table14174[[#This Row],[Inventory]]-Table14174[[#This Row],[Update ]]</f>
        <v>514</v>
      </c>
    </row>
    <row r="35" spans="1:12" x14ac:dyDescent="0.2">
      <c r="A35" s="125">
        <v>44962</v>
      </c>
      <c r="B35" s="9" t="s">
        <v>110</v>
      </c>
      <c r="C35" s="50" t="s">
        <v>280</v>
      </c>
      <c r="D35" s="50" t="s">
        <v>32</v>
      </c>
      <c r="E35" s="9">
        <v>5</v>
      </c>
      <c r="F35" s="47">
        <f>INDEX('Master (Filled)'!$Z$8:$Z$37,MATCH(D35,'Master (Filled)'!$Y$8:$Y$37,0))</f>
        <v>25500</v>
      </c>
      <c r="G35" s="119">
        <f t="shared" si="0"/>
        <v>0.02</v>
      </c>
      <c r="H35" s="47">
        <f t="shared" si="1"/>
        <v>126990</v>
      </c>
      <c r="I35" s="50" t="s">
        <v>280</v>
      </c>
      <c r="J35" s="124">
        <f t="shared" si="2"/>
        <v>755</v>
      </c>
      <c r="K35" s="124">
        <f>SUMIF(Table1316[Category],Table14174[[#This Row],[Category]],Table1316[[Quantity ]])</f>
        <v>241</v>
      </c>
      <c r="L35" s="124">
        <f>Table14174[[#This Row],[Inventory]]-Table14174[[#This Row],[Update ]]</f>
        <v>514</v>
      </c>
    </row>
    <row r="36" spans="1:12" x14ac:dyDescent="0.2">
      <c r="A36" s="125">
        <v>44962</v>
      </c>
      <c r="B36" s="9" t="s">
        <v>19</v>
      </c>
      <c r="C36" s="50" t="s">
        <v>280</v>
      </c>
      <c r="D36" s="50" t="s">
        <v>32</v>
      </c>
      <c r="E36" s="9">
        <v>5</v>
      </c>
      <c r="F36" s="47">
        <f>INDEX('Master (Filled)'!$Z$8:$Z$37,MATCH(D36,'Master (Filled)'!$Y$8:$Y$37,0))</f>
        <v>25500</v>
      </c>
      <c r="G36" s="119">
        <f t="shared" si="0"/>
        <v>0.02</v>
      </c>
      <c r="H36" s="47">
        <f t="shared" si="1"/>
        <v>126990</v>
      </c>
      <c r="I36" s="50" t="s">
        <v>280</v>
      </c>
      <c r="J36" s="124">
        <f t="shared" si="2"/>
        <v>755</v>
      </c>
      <c r="K36" s="124">
        <f>SUMIF(Table1316[Category],Table14174[[#This Row],[Category]],Table1316[[Quantity ]])</f>
        <v>241</v>
      </c>
      <c r="L36" s="124">
        <f>Table14174[[#This Row],[Inventory]]-Table14174[[#This Row],[Update ]]</f>
        <v>514</v>
      </c>
    </row>
    <row r="37" spans="1:12" x14ac:dyDescent="0.2">
      <c r="A37" s="125">
        <v>44962</v>
      </c>
      <c r="B37" s="9" t="s">
        <v>24</v>
      </c>
      <c r="C37" s="50" t="s">
        <v>280</v>
      </c>
      <c r="D37" s="50" t="s">
        <v>115</v>
      </c>
      <c r="E37" s="9">
        <v>7</v>
      </c>
      <c r="F37" s="47">
        <f>INDEX('Master (Filled)'!$Z$8:$Z$37,MATCH(D37,'Master (Filled)'!$Y$8:$Y$37,0))</f>
        <v>89999</v>
      </c>
      <c r="G37" s="119">
        <f t="shared" si="0"/>
        <v>0.02</v>
      </c>
      <c r="H37" s="47">
        <f t="shared" si="1"/>
        <v>628193.02</v>
      </c>
      <c r="I37" s="50" t="s">
        <v>280</v>
      </c>
      <c r="J37" s="124">
        <f t="shared" si="2"/>
        <v>755</v>
      </c>
      <c r="K37" s="124">
        <f>SUMIF(Table1316[Category],Table14174[[#This Row],[Category]],Table1316[[Quantity ]])</f>
        <v>241</v>
      </c>
      <c r="L37" s="124">
        <f>Table14174[[#This Row],[Inventory]]-Table14174[[#This Row],[Update ]]</f>
        <v>514</v>
      </c>
    </row>
    <row r="38" spans="1:12" x14ac:dyDescent="0.2">
      <c r="A38" s="125">
        <v>44963</v>
      </c>
      <c r="B38" s="9" t="s">
        <v>24</v>
      </c>
      <c r="C38" s="50" t="s">
        <v>280</v>
      </c>
      <c r="D38" s="50" t="s">
        <v>115</v>
      </c>
      <c r="E38" s="9">
        <v>8</v>
      </c>
      <c r="F38" s="47">
        <f>INDEX('Master (Filled)'!$Z$8:$Z$37,MATCH(D38,'Master (Filled)'!$Y$8:$Y$37,0))</f>
        <v>89999</v>
      </c>
      <c r="G38" s="119">
        <f t="shared" si="0"/>
        <v>0.02</v>
      </c>
      <c r="H38" s="47">
        <f t="shared" si="1"/>
        <v>718192.02</v>
      </c>
      <c r="I38" s="50" t="s">
        <v>280</v>
      </c>
      <c r="J38" s="124">
        <f t="shared" si="2"/>
        <v>755</v>
      </c>
      <c r="K38" s="124">
        <f>SUMIF(Table1316[Category],Table14174[[#This Row],[Category]],Table1316[[Quantity ]])</f>
        <v>241</v>
      </c>
      <c r="L38" s="124">
        <f>Table14174[[#This Row],[Inventory]]-Table14174[[#This Row],[Update ]]</f>
        <v>514</v>
      </c>
    </row>
    <row r="39" spans="1:12" x14ac:dyDescent="0.2">
      <c r="A39" s="125">
        <v>44963</v>
      </c>
      <c r="B39" s="9" t="s">
        <v>24</v>
      </c>
      <c r="C39" s="50" t="s">
        <v>280</v>
      </c>
      <c r="D39" s="50" t="s">
        <v>115</v>
      </c>
      <c r="E39" s="9">
        <v>8</v>
      </c>
      <c r="F39" s="47">
        <f>INDEX('Master (Filled)'!$Z$8:$Z$37,MATCH(D39,'Master (Filled)'!$Y$8:$Y$37,0))</f>
        <v>89999</v>
      </c>
      <c r="G39" s="119">
        <f t="shared" si="0"/>
        <v>0.02</v>
      </c>
      <c r="H39" s="47">
        <f t="shared" si="1"/>
        <v>718192.02</v>
      </c>
      <c r="I39" s="50" t="s">
        <v>280</v>
      </c>
      <c r="J39" s="124">
        <f t="shared" si="2"/>
        <v>755</v>
      </c>
      <c r="K39" s="124">
        <f>SUMIF(Table1316[Category],Table14174[[#This Row],[Category]],Table1316[[Quantity ]])</f>
        <v>241</v>
      </c>
      <c r="L39" s="124">
        <f>Table14174[[#This Row],[Inventory]]-Table14174[[#This Row],[Update ]]</f>
        <v>514</v>
      </c>
    </row>
    <row r="40" spans="1:12" x14ac:dyDescent="0.2">
      <c r="A40" s="125">
        <v>44963</v>
      </c>
      <c r="B40" s="9" t="s">
        <v>110</v>
      </c>
      <c r="C40" s="50" t="s">
        <v>280</v>
      </c>
      <c r="D40" s="50" t="s">
        <v>32</v>
      </c>
      <c r="E40" s="9">
        <v>7</v>
      </c>
      <c r="F40" s="47">
        <f>INDEX('Master (Filled)'!$Z$8:$Z$37,MATCH(D40,'Master (Filled)'!$Y$8:$Y$37,0))</f>
        <v>25500</v>
      </c>
      <c r="G40" s="119">
        <f t="shared" si="0"/>
        <v>0.02</v>
      </c>
      <c r="H40" s="47">
        <f t="shared" si="1"/>
        <v>177990</v>
      </c>
      <c r="I40" s="50" t="s">
        <v>280</v>
      </c>
      <c r="J40" s="124">
        <f t="shared" si="2"/>
        <v>755</v>
      </c>
      <c r="K40" s="124">
        <f>SUMIF(Table1316[Category],Table14174[[#This Row],[Category]],Table1316[[Quantity ]])</f>
        <v>241</v>
      </c>
      <c r="L40" s="124">
        <f>Table14174[[#This Row],[Inventory]]-Table14174[[#This Row],[Update ]]</f>
        <v>514</v>
      </c>
    </row>
    <row r="41" spans="1:12" x14ac:dyDescent="0.2">
      <c r="A41" s="125">
        <v>44963</v>
      </c>
      <c r="B41" s="9" t="s">
        <v>110</v>
      </c>
      <c r="C41" s="50" t="s">
        <v>280</v>
      </c>
      <c r="D41" s="50" t="s">
        <v>32</v>
      </c>
      <c r="E41" s="9">
        <v>7</v>
      </c>
      <c r="F41" s="47">
        <f>INDEX('Master (Filled)'!$Z$8:$Z$37,MATCH(D41,'Master (Filled)'!$Y$8:$Y$37,0))</f>
        <v>25500</v>
      </c>
      <c r="G41" s="119">
        <f t="shared" si="0"/>
        <v>0.02</v>
      </c>
      <c r="H41" s="47">
        <f t="shared" si="1"/>
        <v>177990</v>
      </c>
      <c r="I41" s="50" t="s">
        <v>280</v>
      </c>
      <c r="J41" s="124">
        <f t="shared" si="2"/>
        <v>755</v>
      </c>
      <c r="K41" s="124">
        <f>SUMIF(Table1316[Category],Table14174[[#This Row],[Category]],Table1316[[Quantity ]])</f>
        <v>241</v>
      </c>
      <c r="L41" s="124">
        <f>Table14174[[#This Row],[Inventory]]-Table14174[[#This Row],[Update ]]</f>
        <v>514</v>
      </c>
    </row>
    <row r="42" spans="1:12" x14ac:dyDescent="0.2">
      <c r="A42" s="125">
        <v>44963</v>
      </c>
      <c r="B42" s="9" t="s">
        <v>19</v>
      </c>
      <c r="C42" s="50" t="s">
        <v>280</v>
      </c>
      <c r="D42" s="50" t="s">
        <v>32</v>
      </c>
      <c r="E42" s="9">
        <v>5</v>
      </c>
      <c r="F42" s="47">
        <f>INDEX('Master (Filled)'!$Z$8:$Z$37,MATCH(D42,'Master (Filled)'!$Y$8:$Y$37,0))</f>
        <v>25500</v>
      </c>
      <c r="G42" s="119">
        <f t="shared" si="0"/>
        <v>0.02</v>
      </c>
      <c r="H42" s="47">
        <f t="shared" si="1"/>
        <v>126990</v>
      </c>
      <c r="I42" s="50" t="s">
        <v>280</v>
      </c>
      <c r="J42" s="124">
        <f t="shared" si="2"/>
        <v>755</v>
      </c>
      <c r="K42" s="124">
        <f>SUMIF(Table1316[Category],Table14174[[#This Row],[Category]],Table1316[[Quantity ]])</f>
        <v>241</v>
      </c>
      <c r="L42" s="124">
        <f>Table14174[[#This Row],[Inventory]]-Table14174[[#This Row],[Update ]]</f>
        <v>514</v>
      </c>
    </row>
    <row r="43" spans="1:12" x14ac:dyDescent="0.2">
      <c r="A43" s="125">
        <v>44963</v>
      </c>
      <c r="B43" s="9" t="s">
        <v>19</v>
      </c>
      <c r="C43" s="50" t="s">
        <v>280</v>
      </c>
      <c r="D43" s="50" t="s">
        <v>32</v>
      </c>
      <c r="E43" s="9">
        <v>4</v>
      </c>
      <c r="F43" s="47">
        <f>INDEX('Master (Filled)'!$Z$8:$Z$37,MATCH(D43,'Master (Filled)'!$Y$8:$Y$37,0))</f>
        <v>25500</v>
      </c>
      <c r="G43" s="119">
        <f t="shared" si="0"/>
        <v>0.02</v>
      </c>
      <c r="H43" s="47">
        <f t="shared" si="1"/>
        <v>101490</v>
      </c>
      <c r="I43" s="50" t="s">
        <v>280</v>
      </c>
      <c r="J43" s="124">
        <f t="shared" si="2"/>
        <v>755</v>
      </c>
      <c r="K43" s="124">
        <f>SUMIF(Table1316[Category],Table14174[[#This Row],[Category]],Table1316[[Quantity ]])</f>
        <v>241</v>
      </c>
      <c r="L43" s="124">
        <f>Table14174[[#This Row],[Inventory]]-Table14174[[#This Row],[Update ]]</f>
        <v>514</v>
      </c>
    </row>
    <row r="44" spans="1:12" x14ac:dyDescent="0.2">
      <c r="A44" s="125">
        <v>44964</v>
      </c>
      <c r="B44" s="9" t="s">
        <v>80</v>
      </c>
      <c r="C44" s="50" t="s">
        <v>282</v>
      </c>
      <c r="D44" s="49" t="s">
        <v>72</v>
      </c>
      <c r="E44" s="9">
        <v>6</v>
      </c>
      <c r="F44" s="47">
        <f>INDEX('Master (Filled)'!$Z$8:$Z$37,MATCH(D44,'Master (Filled)'!$Y$8:$Y$37,0))</f>
        <v>110500</v>
      </c>
      <c r="G44" s="119">
        <f t="shared" si="0"/>
        <v>0.02</v>
      </c>
      <c r="H44" s="47">
        <f t="shared" si="1"/>
        <v>660790</v>
      </c>
      <c r="I44" s="50" t="s">
        <v>282</v>
      </c>
      <c r="J44" s="124">
        <f t="shared" si="2"/>
        <v>755</v>
      </c>
      <c r="K44" s="124">
        <f>SUMIF(Table1316[Category],Table14174[[#This Row],[Category]],Table1316[[Quantity ]])</f>
        <v>215</v>
      </c>
      <c r="L44" s="124">
        <f>Table14174[[#This Row],[Inventory]]-Table14174[[#This Row],[Update ]]</f>
        <v>540</v>
      </c>
    </row>
    <row r="45" spans="1:12" x14ac:dyDescent="0.2">
      <c r="A45" s="125">
        <v>44964</v>
      </c>
      <c r="B45" s="9" t="s">
        <v>61</v>
      </c>
      <c r="C45" s="50" t="s">
        <v>282</v>
      </c>
      <c r="D45" s="49" t="s">
        <v>78</v>
      </c>
      <c r="E45" s="9">
        <v>8</v>
      </c>
      <c r="F45" s="47">
        <f>INDEX('Master (Filled)'!$Z$8:$Z$37,MATCH(D45,'Master (Filled)'!$Y$8:$Y$37,0))</f>
        <v>135500</v>
      </c>
      <c r="G45" s="119">
        <f t="shared" si="0"/>
        <v>0.02</v>
      </c>
      <c r="H45" s="47">
        <f t="shared" si="1"/>
        <v>1081290</v>
      </c>
      <c r="I45" s="50" t="s">
        <v>282</v>
      </c>
      <c r="J45" s="124">
        <f t="shared" si="2"/>
        <v>755</v>
      </c>
      <c r="K45" s="124">
        <f>SUMIF(Table1316[Category],Table14174[[#This Row],[Category]],Table1316[[Quantity ]])</f>
        <v>215</v>
      </c>
      <c r="L45" s="124">
        <f>Table14174[[#This Row],[Inventory]]-Table14174[[#This Row],[Update ]]</f>
        <v>540</v>
      </c>
    </row>
    <row r="46" spans="1:12" x14ac:dyDescent="0.2">
      <c r="A46" s="125">
        <v>44964</v>
      </c>
      <c r="B46" s="9" t="s">
        <v>59</v>
      </c>
      <c r="C46" s="50" t="s">
        <v>276</v>
      </c>
      <c r="D46" s="49" t="s">
        <v>125</v>
      </c>
      <c r="E46" s="9">
        <v>8</v>
      </c>
      <c r="F46" s="47">
        <f>INDEX('Master (Filled)'!$Z$8:$Z$37,MATCH(D46,'Master (Filled)'!$Y$8:$Y$37,0))</f>
        <v>175000</v>
      </c>
      <c r="G46" s="119">
        <f t="shared" si="0"/>
        <v>0.02</v>
      </c>
      <c r="H46" s="47">
        <f t="shared" si="1"/>
        <v>1396500</v>
      </c>
      <c r="I46" s="50" t="s">
        <v>276</v>
      </c>
      <c r="J46" s="124">
        <f t="shared" si="2"/>
        <v>755</v>
      </c>
      <c r="K46" s="124">
        <f>SUMIF(Table1316[Category],Table14174[[#This Row],[Category]],Table1316[[Quantity ]])</f>
        <v>345</v>
      </c>
      <c r="L46" s="124">
        <f>Table14174[[#This Row],[Inventory]]-Table14174[[#This Row],[Update ]]</f>
        <v>410</v>
      </c>
    </row>
    <row r="47" spans="1:12" x14ac:dyDescent="0.2">
      <c r="A47" s="125">
        <v>44964</v>
      </c>
      <c r="B47" s="9" t="s">
        <v>88</v>
      </c>
      <c r="C47" s="50" t="s">
        <v>276</v>
      </c>
      <c r="D47" s="49" t="s">
        <v>127</v>
      </c>
      <c r="E47" s="9">
        <v>9</v>
      </c>
      <c r="F47" s="47">
        <f>INDEX('Master (Filled)'!$Z$8:$Z$37,MATCH(D47,'Master (Filled)'!$Y$8:$Y$37,0))</f>
        <v>65000</v>
      </c>
      <c r="G47" s="119">
        <f t="shared" si="0"/>
        <v>0.03</v>
      </c>
      <c r="H47" s="47">
        <f t="shared" si="1"/>
        <v>583050</v>
      </c>
      <c r="I47" s="50" t="s">
        <v>276</v>
      </c>
      <c r="J47" s="124">
        <f t="shared" si="2"/>
        <v>755</v>
      </c>
      <c r="K47" s="124">
        <f>SUMIF(Table1316[Category],Table14174[[#This Row],[Category]],Table1316[[Quantity ]])</f>
        <v>345</v>
      </c>
      <c r="L47" s="124">
        <f>Table14174[[#This Row],[Inventory]]-Table14174[[#This Row],[Update ]]</f>
        <v>410</v>
      </c>
    </row>
    <row r="48" spans="1:12" x14ac:dyDescent="0.2">
      <c r="A48" s="125">
        <v>44964</v>
      </c>
      <c r="B48" s="9" t="s">
        <v>56</v>
      </c>
      <c r="C48" s="50" t="s">
        <v>276</v>
      </c>
      <c r="D48" s="49" t="s">
        <v>127</v>
      </c>
      <c r="E48" s="9">
        <v>11</v>
      </c>
      <c r="F48" s="47">
        <f>INDEX('Master (Filled)'!$Z$8:$Z$37,MATCH(D48,'Master (Filled)'!$Y$8:$Y$37,0))</f>
        <v>65000</v>
      </c>
      <c r="G48" s="119">
        <f t="shared" si="0"/>
        <v>0.03</v>
      </c>
      <c r="H48" s="47">
        <f t="shared" si="1"/>
        <v>713050</v>
      </c>
      <c r="I48" s="50" t="s">
        <v>276</v>
      </c>
      <c r="J48" s="124">
        <f t="shared" si="2"/>
        <v>755</v>
      </c>
      <c r="K48" s="124">
        <f>SUMIF(Table1316[Category],Table14174[[#This Row],[Category]],Table1316[[Quantity ]])</f>
        <v>345</v>
      </c>
      <c r="L48" s="124">
        <f>Table14174[[#This Row],[Inventory]]-Table14174[[#This Row],[Update ]]</f>
        <v>410</v>
      </c>
    </row>
    <row r="49" spans="1:12" x14ac:dyDescent="0.2">
      <c r="A49" s="125">
        <v>44964</v>
      </c>
      <c r="B49" s="9" t="s">
        <v>56</v>
      </c>
      <c r="C49" s="50" t="s">
        <v>276</v>
      </c>
      <c r="D49" s="49" t="s">
        <v>131</v>
      </c>
      <c r="E49" s="9">
        <v>10</v>
      </c>
      <c r="F49" s="47">
        <f>INDEX('Master (Filled)'!$Z$8:$Z$37,MATCH(D49,'Master (Filled)'!$Y$8:$Y$37,0))</f>
        <v>90000</v>
      </c>
      <c r="G49" s="119">
        <f t="shared" si="0"/>
        <v>0.03</v>
      </c>
      <c r="H49" s="47">
        <f t="shared" si="1"/>
        <v>897300</v>
      </c>
      <c r="I49" s="50" t="s">
        <v>276</v>
      </c>
      <c r="J49" s="124">
        <f t="shared" si="2"/>
        <v>755</v>
      </c>
      <c r="K49" s="124">
        <f>SUMIF(Table1316[Category],Table14174[[#This Row],[Category]],Table1316[[Quantity ]])</f>
        <v>345</v>
      </c>
      <c r="L49" s="124">
        <f>Table14174[[#This Row],[Inventory]]-Table14174[[#This Row],[Update ]]</f>
        <v>410</v>
      </c>
    </row>
    <row r="50" spans="1:12" x14ac:dyDescent="0.2">
      <c r="A50" s="125">
        <v>44964</v>
      </c>
      <c r="B50" s="9" t="s">
        <v>56</v>
      </c>
      <c r="C50" s="50" t="s">
        <v>276</v>
      </c>
      <c r="D50" s="49" t="s">
        <v>133</v>
      </c>
      <c r="E50" s="9">
        <v>9</v>
      </c>
      <c r="F50" s="47">
        <f>INDEX('Master (Filled)'!$Z$8:$Z$37,MATCH(D50,'Master (Filled)'!$Y$8:$Y$37,0))</f>
        <v>95000</v>
      </c>
      <c r="G50" s="119">
        <f t="shared" si="0"/>
        <v>0.03</v>
      </c>
      <c r="H50" s="47">
        <f t="shared" si="1"/>
        <v>852150</v>
      </c>
      <c r="I50" s="50" t="s">
        <v>276</v>
      </c>
      <c r="J50" s="124">
        <f t="shared" si="2"/>
        <v>755</v>
      </c>
      <c r="K50" s="124">
        <f>SUMIF(Table1316[Category],Table14174[[#This Row],[Category]],Table1316[[Quantity ]])</f>
        <v>345</v>
      </c>
      <c r="L50" s="124">
        <f>Table14174[[#This Row],[Inventory]]-Table14174[[#This Row],[Update ]]</f>
        <v>410</v>
      </c>
    </row>
    <row r="51" spans="1:12" x14ac:dyDescent="0.2">
      <c r="A51" s="125">
        <v>44965</v>
      </c>
      <c r="B51" s="9" t="s">
        <v>52</v>
      </c>
      <c r="C51" s="50" t="s">
        <v>276</v>
      </c>
      <c r="D51" s="49" t="s">
        <v>133</v>
      </c>
      <c r="E51" s="9">
        <v>5</v>
      </c>
      <c r="F51" s="47">
        <f>INDEX('Master (Filled)'!$Z$8:$Z$37,MATCH(D51,'Master (Filled)'!$Y$8:$Y$37,0))</f>
        <v>95000</v>
      </c>
      <c r="G51" s="119">
        <f t="shared" si="0"/>
        <v>0.02</v>
      </c>
      <c r="H51" s="47">
        <f t="shared" si="1"/>
        <v>473100</v>
      </c>
      <c r="I51" s="50" t="s">
        <v>276</v>
      </c>
      <c r="J51" s="124">
        <f t="shared" si="2"/>
        <v>755</v>
      </c>
      <c r="K51" s="124">
        <f>SUMIF(Table1316[Category],Table14174[[#This Row],[Category]],Table1316[[Quantity ]])</f>
        <v>345</v>
      </c>
      <c r="L51" s="124">
        <f>Table14174[[#This Row],[Inventory]]-Table14174[[#This Row],[Update ]]</f>
        <v>410</v>
      </c>
    </row>
    <row r="52" spans="1:12" x14ac:dyDescent="0.2">
      <c r="A52" s="125">
        <v>44965</v>
      </c>
      <c r="B52" s="9" t="s">
        <v>52</v>
      </c>
      <c r="C52" s="50" t="s">
        <v>276</v>
      </c>
      <c r="D52" s="49" t="s">
        <v>133</v>
      </c>
      <c r="E52" s="9">
        <v>5</v>
      </c>
      <c r="F52" s="47">
        <f>INDEX('Master (Filled)'!$Z$8:$Z$37,MATCH(D52,'Master (Filled)'!$Y$8:$Y$37,0))</f>
        <v>95000</v>
      </c>
      <c r="G52" s="119">
        <f t="shared" si="0"/>
        <v>0.02</v>
      </c>
      <c r="H52" s="47">
        <f t="shared" si="1"/>
        <v>473100</v>
      </c>
      <c r="I52" s="50" t="s">
        <v>276</v>
      </c>
      <c r="J52" s="124">
        <f t="shared" si="2"/>
        <v>755</v>
      </c>
      <c r="K52" s="124">
        <f>SUMIF(Table1316[Category],Table14174[[#This Row],[Category]],Table1316[[Quantity ]])</f>
        <v>345</v>
      </c>
      <c r="L52" s="124">
        <f>Table14174[[#This Row],[Inventory]]-Table14174[[#This Row],[Update ]]</f>
        <v>410</v>
      </c>
    </row>
    <row r="53" spans="1:12" x14ac:dyDescent="0.2">
      <c r="A53" s="125">
        <v>44965</v>
      </c>
      <c r="B53" s="9" t="s">
        <v>103</v>
      </c>
      <c r="C53" s="50" t="s">
        <v>278</v>
      </c>
      <c r="D53" s="50" t="s">
        <v>137</v>
      </c>
      <c r="E53" s="9">
        <v>3</v>
      </c>
      <c r="F53" s="47">
        <f>INDEX('Master (Filled)'!$Z$8:$Z$37,MATCH(D53,'Master (Filled)'!$Y$8:$Y$37,0))</f>
        <v>115000</v>
      </c>
      <c r="G53" s="119">
        <f t="shared" si="0"/>
        <v>0.02</v>
      </c>
      <c r="H53" s="47">
        <f t="shared" si="1"/>
        <v>342700</v>
      </c>
      <c r="I53" s="50" t="s">
        <v>278</v>
      </c>
      <c r="J53" s="124">
        <f t="shared" si="2"/>
        <v>755</v>
      </c>
      <c r="K53" s="124">
        <f>SUMIF(Table1316[Category],Table14174[[#This Row],[Category]],Table1316[[Quantity ]])</f>
        <v>299</v>
      </c>
      <c r="L53" s="124">
        <f>Table14174[[#This Row],[Inventory]]-Table14174[[#This Row],[Update ]]</f>
        <v>456</v>
      </c>
    </row>
    <row r="54" spans="1:12" x14ac:dyDescent="0.2">
      <c r="A54" s="125">
        <v>44965</v>
      </c>
      <c r="B54" s="9" t="s">
        <v>103</v>
      </c>
      <c r="C54" s="50" t="s">
        <v>278</v>
      </c>
      <c r="D54" s="50" t="s">
        <v>137</v>
      </c>
      <c r="E54" s="9">
        <v>2</v>
      </c>
      <c r="F54" s="47">
        <f>INDEX('Master (Filled)'!$Z$8:$Z$37,MATCH(D54,'Master (Filled)'!$Y$8:$Y$37,0))</f>
        <v>115000</v>
      </c>
      <c r="G54" s="119">
        <f t="shared" si="0"/>
        <v>0.02</v>
      </c>
      <c r="H54" s="47">
        <f t="shared" si="1"/>
        <v>227700</v>
      </c>
      <c r="I54" s="50" t="s">
        <v>278</v>
      </c>
      <c r="J54" s="124">
        <f t="shared" si="2"/>
        <v>755</v>
      </c>
      <c r="K54" s="124">
        <f>SUMIF(Table1316[Category],Table14174[[#This Row],[Category]],Table1316[[Quantity ]])</f>
        <v>299</v>
      </c>
      <c r="L54" s="124">
        <f>Table14174[[#This Row],[Inventory]]-Table14174[[#This Row],[Update ]]</f>
        <v>456</v>
      </c>
    </row>
    <row r="55" spans="1:12" x14ac:dyDescent="0.2">
      <c r="A55" s="125">
        <v>44965</v>
      </c>
      <c r="B55" s="9" t="s">
        <v>19</v>
      </c>
      <c r="C55" s="50" t="s">
        <v>280</v>
      </c>
      <c r="D55" s="50" t="s">
        <v>111</v>
      </c>
      <c r="E55" s="9">
        <v>2</v>
      </c>
      <c r="F55" s="47">
        <f>INDEX('Master (Filled)'!$Z$8:$Z$37,MATCH(D55,'Master (Filled)'!$Y$8:$Y$37,0))</f>
        <v>45555</v>
      </c>
      <c r="G55" s="119">
        <f t="shared" si="0"/>
        <v>0.02</v>
      </c>
      <c r="H55" s="47">
        <f t="shared" si="1"/>
        <v>90198.9</v>
      </c>
      <c r="I55" s="50" t="s">
        <v>280</v>
      </c>
      <c r="J55" s="124">
        <f t="shared" si="2"/>
        <v>755</v>
      </c>
      <c r="K55" s="124">
        <f>SUMIF(Table1316[Category],Table14174[[#This Row],[Category]],Table1316[[Quantity ]])</f>
        <v>241</v>
      </c>
      <c r="L55" s="124">
        <f>Table14174[[#This Row],[Inventory]]-Table14174[[#This Row],[Update ]]</f>
        <v>514</v>
      </c>
    </row>
    <row r="56" spans="1:12" x14ac:dyDescent="0.2">
      <c r="A56" s="125">
        <v>44965</v>
      </c>
      <c r="B56" s="9" t="s">
        <v>31</v>
      </c>
      <c r="C56" s="50" t="s">
        <v>280</v>
      </c>
      <c r="D56" s="50" t="s">
        <v>111</v>
      </c>
      <c r="E56" s="9">
        <v>2</v>
      </c>
      <c r="F56" s="47">
        <f>INDEX('Master (Filled)'!$Z$8:$Z$37,MATCH(D56,'Master (Filled)'!$Y$8:$Y$37,0))</f>
        <v>45555</v>
      </c>
      <c r="G56" s="119">
        <f t="shared" si="0"/>
        <v>0.02</v>
      </c>
      <c r="H56" s="47">
        <f t="shared" si="1"/>
        <v>90198.9</v>
      </c>
      <c r="I56" s="50" t="s">
        <v>280</v>
      </c>
      <c r="J56" s="124">
        <f t="shared" si="2"/>
        <v>755</v>
      </c>
      <c r="K56" s="124">
        <f>SUMIF(Table1316[Category],Table14174[[#This Row],[Category]],Table1316[[Quantity ]])</f>
        <v>241</v>
      </c>
      <c r="L56" s="124">
        <f>Table14174[[#This Row],[Inventory]]-Table14174[[#This Row],[Update ]]</f>
        <v>514</v>
      </c>
    </row>
    <row r="57" spans="1:12" x14ac:dyDescent="0.2">
      <c r="A57" s="125">
        <v>44965</v>
      </c>
      <c r="B57" s="9" t="s">
        <v>36</v>
      </c>
      <c r="C57" s="50" t="s">
        <v>278</v>
      </c>
      <c r="D57" s="50" t="s">
        <v>104</v>
      </c>
      <c r="E57" s="9">
        <v>4</v>
      </c>
      <c r="F57" s="47">
        <f>INDEX('Master (Filled)'!$Z$8:$Z$37,MATCH(D57,'Master (Filled)'!$Y$8:$Y$37,0))</f>
        <v>225000</v>
      </c>
      <c r="G57" s="119">
        <f t="shared" si="0"/>
        <v>0.02</v>
      </c>
      <c r="H57" s="47">
        <f t="shared" si="1"/>
        <v>895500</v>
      </c>
      <c r="I57" s="50" t="s">
        <v>278</v>
      </c>
      <c r="J57" s="124">
        <f t="shared" si="2"/>
        <v>755</v>
      </c>
      <c r="K57" s="124">
        <f>SUMIF(Table1316[Category],Table14174[[#This Row],[Category]],Table1316[[Quantity ]])</f>
        <v>299</v>
      </c>
      <c r="L57" s="124">
        <f>Table14174[[#This Row],[Inventory]]-Table14174[[#This Row],[Update ]]</f>
        <v>456</v>
      </c>
    </row>
    <row r="58" spans="1:12" x14ac:dyDescent="0.2">
      <c r="A58" s="125">
        <v>44965</v>
      </c>
      <c r="B58" s="9" t="s">
        <v>40</v>
      </c>
      <c r="C58" s="50" t="s">
        <v>278</v>
      </c>
      <c r="D58" s="50" t="s">
        <v>37</v>
      </c>
      <c r="E58" s="9">
        <v>5</v>
      </c>
      <c r="F58" s="47">
        <f>INDEX('Master (Filled)'!$Z$8:$Z$37,MATCH(D58,'Master (Filled)'!$Y$8:$Y$37,0))</f>
        <v>195000</v>
      </c>
      <c r="G58" s="119">
        <f t="shared" si="0"/>
        <v>0.02</v>
      </c>
      <c r="H58" s="47">
        <f t="shared" si="1"/>
        <v>971100</v>
      </c>
      <c r="I58" s="50" t="s">
        <v>278</v>
      </c>
      <c r="J58" s="124">
        <f t="shared" si="2"/>
        <v>755</v>
      </c>
      <c r="K58" s="124">
        <f>SUMIF(Table1316[Category],Table14174[[#This Row],[Category]],Table1316[[Quantity ]])</f>
        <v>299</v>
      </c>
      <c r="L58" s="124">
        <f>Table14174[[#This Row],[Inventory]]-Table14174[[#This Row],[Update ]]</f>
        <v>456</v>
      </c>
    </row>
    <row r="59" spans="1:12" x14ac:dyDescent="0.2">
      <c r="A59" s="125">
        <v>44965</v>
      </c>
      <c r="B59" s="9" t="s">
        <v>40</v>
      </c>
      <c r="C59" s="50" t="s">
        <v>278</v>
      </c>
      <c r="D59" s="50" t="s">
        <v>37</v>
      </c>
      <c r="E59" s="9">
        <v>5</v>
      </c>
      <c r="F59" s="47">
        <f>INDEX('Master (Filled)'!$Z$8:$Z$37,MATCH(D59,'Master (Filled)'!$Y$8:$Y$37,0))</f>
        <v>195000</v>
      </c>
      <c r="G59" s="119">
        <f t="shared" si="0"/>
        <v>0.02</v>
      </c>
      <c r="H59" s="47">
        <f t="shared" si="1"/>
        <v>971100</v>
      </c>
      <c r="I59" s="50" t="s">
        <v>278</v>
      </c>
      <c r="J59" s="124">
        <f t="shared" si="2"/>
        <v>755</v>
      </c>
      <c r="K59" s="124">
        <f>SUMIF(Table1316[Category],Table14174[[#This Row],[Category]],Table1316[[Quantity ]])</f>
        <v>299</v>
      </c>
      <c r="L59" s="124">
        <f>Table14174[[#This Row],[Inventory]]-Table14174[[#This Row],[Update ]]</f>
        <v>456</v>
      </c>
    </row>
    <row r="60" spans="1:12" x14ac:dyDescent="0.2">
      <c r="A60" s="125">
        <v>44965</v>
      </c>
      <c r="B60" s="9" t="s">
        <v>46</v>
      </c>
      <c r="C60" s="50" t="s">
        <v>278</v>
      </c>
      <c r="D60" s="50" t="s">
        <v>37</v>
      </c>
      <c r="E60" s="9">
        <v>7</v>
      </c>
      <c r="F60" s="47">
        <f>INDEX('Master (Filled)'!$Z$8:$Z$37,MATCH(D60,'Master (Filled)'!$Y$8:$Y$37,0))</f>
        <v>195000</v>
      </c>
      <c r="G60" s="119">
        <f t="shared" si="0"/>
        <v>0.02</v>
      </c>
      <c r="H60" s="47">
        <f t="shared" si="1"/>
        <v>1361100</v>
      </c>
      <c r="I60" s="50" t="s">
        <v>278</v>
      </c>
      <c r="J60" s="124">
        <f t="shared" si="2"/>
        <v>755</v>
      </c>
      <c r="K60" s="124">
        <f>SUMIF(Table1316[Category],Table14174[[#This Row],[Category]],Table1316[[Quantity ]])</f>
        <v>299</v>
      </c>
      <c r="L60" s="124">
        <f>Table14174[[#This Row],[Inventory]]-Table14174[[#This Row],[Update ]]</f>
        <v>456</v>
      </c>
    </row>
    <row r="61" spans="1:12" x14ac:dyDescent="0.2">
      <c r="A61" s="125">
        <v>44965</v>
      </c>
      <c r="B61" s="9" t="s">
        <v>36</v>
      </c>
      <c r="C61" s="50" t="s">
        <v>278</v>
      </c>
      <c r="D61" s="50" t="s">
        <v>104</v>
      </c>
      <c r="E61" s="9">
        <v>7</v>
      </c>
      <c r="F61" s="47">
        <f>INDEX('Master (Filled)'!$Z$8:$Z$37,MATCH(D61,'Master (Filled)'!$Y$8:$Y$37,0))</f>
        <v>225000</v>
      </c>
      <c r="G61" s="119">
        <f t="shared" si="0"/>
        <v>0.02</v>
      </c>
      <c r="H61" s="47">
        <f t="shared" si="1"/>
        <v>1570500</v>
      </c>
      <c r="I61" s="50" t="s">
        <v>278</v>
      </c>
      <c r="J61" s="124">
        <f t="shared" si="2"/>
        <v>755</v>
      </c>
      <c r="K61" s="124">
        <f>SUMIF(Table1316[Category],Table14174[[#This Row],[Category]],Table1316[[Quantity ]])</f>
        <v>299</v>
      </c>
      <c r="L61" s="124">
        <f>Table14174[[#This Row],[Inventory]]-Table14174[[#This Row],[Update ]]</f>
        <v>456</v>
      </c>
    </row>
    <row r="62" spans="1:12" x14ac:dyDescent="0.2">
      <c r="A62" s="125">
        <v>44965</v>
      </c>
      <c r="B62" s="9" t="s">
        <v>52</v>
      </c>
      <c r="C62" s="50" t="s">
        <v>276</v>
      </c>
      <c r="D62" s="49" t="s">
        <v>147</v>
      </c>
      <c r="E62" s="9">
        <v>7</v>
      </c>
      <c r="F62" s="47">
        <f>INDEX('Master (Filled)'!$Z$8:$Z$37,MATCH(D62,'Master (Filled)'!$Y$8:$Y$37,0))</f>
        <v>125000</v>
      </c>
      <c r="G62" s="119">
        <f t="shared" si="0"/>
        <v>0.02</v>
      </c>
      <c r="H62" s="47">
        <f t="shared" si="1"/>
        <v>872500</v>
      </c>
      <c r="I62" s="50" t="s">
        <v>276</v>
      </c>
      <c r="J62" s="124">
        <f t="shared" si="2"/>
        <v>755</v>
      </c>
      <c r="K62" s="124">
        <f>SUMIF(Table1316[Category],Table14174[[#This Row],[Category]],Table1316[[Quantity ]])</f>
        <v>345</v>
      </c>
      <c r="L62" s="124">
        <f>Table14174[[#This Row],[Inventory]]-Table14174[[#This Row],[Update ]]</f>
        <v>410</v>
      </c>
    </row>
    <row r="63" spans="1:12" x14ac:dyDescent="0.2">
      <c r="A63" s="125">
        <v>44966</v>
      </c>
      <c r="B63" s="9" t="s">
        <v>56</v>
      </c>
      <c r="C63" s="50" t="s">
        <v>276</v>
      </c>
      <c r="D63" s="49" t="s">
        <v>99</v>
      </c>
      <c r="E63" s="9">
        <v>8</v>
      </c>
      <c r="F63" s="47">
        <f>INDEX('Master (Filled)'!$Z$8:$Z$37,MATCH(D63,'Master (Filled)'!$Y$8:$Y$37,0))</f>
        <v>185000</v>
      </c>
      <c r="G63" s="119">
        <f t="shared" si="0"/>
        <v>0.02</v>
      </c>
      <c r="H63" s="47">
        <f t="shared" si="1"/>
        <v>1476300</v>
      </c>
      <c r="I63" s="50" t="s">
        <v>276</v>
      </c>
      <c r="J63" s="124">
        <f t="shared" si="2"/>
        <v>755</v>
      </c>
      <c r="K63" s="124">
        <f>SUMIF(Table1316[Category],Table14174[[#This Row],[Category]],Table1316[[Quantity ]])</f>
        <v>345</v>
      </c>
      <c r="L63" s="124">
        <f>Table14174[[#This Row],[Inventory]]-Table14174[[#This Row],[Update ]]</f>
        <v>410</v>
      </c>
    </row>
    <row r="64" spans="1:12" x14ac:dyDescent="0.2">
      <c r="A64" s="125">
        <v>44966</v>
      </c>
      <c r="B64" s="9" t="s">
        <v>59</v>
      </c>
      <c r="C64" s="50" t="s">
        <v>276</v>
      </c>
      <c r="D64" s="49" t="s">
        <v>99</v>
      </c>
      <c r="E64" s="9">
        <v>8</v>
      </c>
      <c r="F64" s="47">
        <f>INDEX('Master (Filled)'!$Z$8:$Z$37,MATCH(D64,'Master (Filled)'!$Y$8:$Y$37,0))</f>
        <v>185000</v>
      </c>
      <c r="G64" s="119">
        <f t="shared" si="0"/>
        <v>0.02</v>
      </c>
      <c r="H64" s="47">
        <f t="shared" si="1"/>
        <v>1476300</v>
      </c>
      <c r="I64" s="50" t="s">
        <v>276</v>
      </c>
      <c r="J64" s="124">
        <f t="shared" si="2"/>
        <v>755</v>
      </c>
      <c r="K64" s="124">
        <f>SUMIF(Table1316[Category],Table14174[[#This Row],[Category]],Table1316[[Quantity ]])</f>
        <v>345</v>
      </c>
      <c r="L64" s="124">
        <f>Table14174[[#This Row],[Inventory]]-Table14174[[#This Row],[Update ]]</f>
        <v>410</v>
      </c>
    </row>
    <row r="65" spans="1:12" x14ac:dyDescent="0.2">
      <c r="A65" s="125">
        <v>44966</v>
      </c>
      <c r="B65" s="9" t="s">
        <v>61</v>
      </c>
      <c r="C65" s="50" t="s">
        <v>282</v>
      </c>
      <c r="D65" s="49" t="s">
        <v>62</v>
      </c>
      <c r="E65" s="9">
        <v>9</v>
      </c>
      <c r="F65" s="47">
        <f>INDEX('Master (Filled)'!$Z$8:$Z$37,MATCH(D65,'Master (Filled)'!$Y$8:$Y$37,0))</f>
        <v>75000</v>
      </c>
      <c r="G65" s="119">
        <f t="shared" si="0"/>
        <v>0.03</v>
      </c>
      <c r="H65" s="47">
        <f t="shared" si="1"/>
        <v>672750</v>
      </c>
      <c r="I65" s="50" t="s">
        <v>282</v>
      </c>
      <c r="J65" s="124">
        <f t="shared" si="2"/>
        <v>755</v>
      </c>
      <c r="K65" s="124">
        <f>SUMIF(Table1316[Category],Table14174[[#This Row],[Category]],Table1316[[Quantity ]])</f>
        <v>215</v>
      </c>
      <c r="L65" s="124">
        <f>Table14174[[#This Row],[Inventory]]-Table14174[[#This Row],[Update ]]</f>
        <v>540</v>
      </c>
    </row>
    <row r="66" spans="1:12" x14ac:dyDescent="0.2">
      <c r="A66" s="125">
        <v>44966</v>
      </c>
      <c r="B66" s="9" t="s">
        <v>36</v>
      </c>
      <c r="C66" s="50" t="s">
        <v>278</v>
      </c>
      <c r="D66" s="50" t="s">
        <v>106</v>
      </c>
      <c r="E66" s="9">
        <v>12</v>
      </c>
      <c r="F66" s="47">
        <f>INDEX('Master (Filled)'!$Z$8:$Z$37,MATCH(D66,'Master (Filled)'!$Y$8:$Y$37,0))</f>
        <v>45500</v>
      </c>
      <c r="G66" s="119">
        <f t="shared" ref="G66:G129" si="3">IF(E66&gt;8,3%,2%)</f>
        <v>0.03</v>
      </c>
      <c r="H66" s="47">
        <f t="shared" ref="H66:H129" si="4">(E66*F66)-(F66*G66)</f>
        <v>544635</v>
      </c>
      <c r="I66" s="50" t="s">
        <v>278</v>
      </c>
      <c r="J66" s="124">
        <f t="shared" si="2"/>
        <v>755</v>
      </c>
      <c r="K66" s="124">
        <f>SUMIF(Table1316[Category],Table14174[[#This Row],[Category]],Table1316[[Quantity ]])</f>
        <v>299</v>
      </c>
      <c r="L66" s="124">
        <f>Table14174[[#This Row],[Inventory]]-Table14174[[#This Row],[Update ]]</f>
        <v>456</v>
      </c>
    </row>
    <row r="67" spans="1:12" x14ac:dyDescent="0.2">
      <c r="A67" s="125">
        <v>44966</v>
      </c>
      <c r="B67" s="9" t="s">
        <v>40</v>
      </c>
      <c r="C67" s="50" t="s">
        <v>278</v>
      </c>
      <c r="D67" s="50" t="s">
        <v>41</v>
      </c>
      <c r="E67" s="9">
        <v>11</v>
      </c>
      <c r="F67" s="47">
        <f>INDEX('Master (Filled)'!$Z$8:$Z$37,MATCH(D67,'Master (Filled)'!$Y$8:$Y$37,0))</f>
        <v>85500</v>
      </c>
      <c r="G67" s="119">
        <f t="shared" si="3"/>
        <v>0.03</v>
      </c>
      <c r="H67" s="47">
        <f t="shared" si="4"/>
        <v>937935</v>
      </c>
      <c r="I67" s="50" t="s">
        <v>278</v>
      </c>
      <c r="J67" s="124">
        <f t="shared" ref="J67:J85" si="5">IF(D67="Food Product",700,IF(D67="Non Food Product",900,IF(D67="General Merchandise Product",855,755)))</f>
        <v>755</v>
      </c>
      <c r="K67" s="124">
        <f>SUMIF(Table1316[Category],Table14174[[#This Row],[Category]],Table1316[[Quantity ]])</f>
        <v>299</v>
      </c>
      <c r="L67" s="124">
        <f>Table14174[[#This Row],[Inventory]]-Table14174[[#This Row],[Update ]]</f>
        <v>456</v>
      </c>
    </row>
    <row r="68" spans="1:12" x14ac:dyDescent="0.2">
      <c r="A68" s="125">
        <v>44966</v>
      </c>
      <c r="B68" s="9" t="s">
        <v>40</v>
      </c>
      <c r="C68" s="50" t="s">
        <v>278</v>
      </c>
      <c r="D68" s="50" t="s">
        <v>106</v>
      </c>
      <c r="E68" s="9">
        <v>11</v>
      </c>
      <c r="F68" s="47">
        <f>INDEX('Master (Filled)'!$Z$8:$Z$37,MATCH(D68,'Master (Filled)'!$Y$8:$Y$37,0))</f>
        <v>45500</v>
      </c>
      <c r="G68" s="119">
        <f t="shared" si="3"/>
        <v>0.03</v>
      </c>
      <c r="H68" s="47">
        <f t="shared" si="4"/>
        <v>499135</v>
      </c>
      <c r="I68" s="50" t="s">
        <v>278</v>
      </c>
      <c r="J68" s="124">
        <f t="shared" si="5"/>
        <v>755</v>
      </c>
      <c r="K68" s="124">
        <f>SUMIF(Table1316[Category],Table14174[[#This Row],[Category]],Table1316[[Quantity ]])</f>
        <v>299</v>
      </c>
      <c r="L68" s="124">
        <f>Table14174[[#This Row],[Inventory]]-Table14174[[#This Row],[Update ]]</f>
        <v>456</v>
      </c>
    </row>
    <row r="69" spans="1:12" x14ac:dyDescent="0.2">
      <c r="A69" s="125">
        <v>44966</v>
      </c>
      <c r="B69" s="9" t="s">
        <v>46</v>
      </c>
      <c r="C69" s="50" t="s">
        <v>278</v>
      </c>
      <c r="D69" s="50" t="s">
        <v>106</v>
      </c>
      <c r="E69" s="9">
        <v>15</v>
      </c>
      <c r="F69" s="47">
        <f>INDEX('Master (Filled)'!$Z$8:$Z$37,MATCH(D69,'Master (Filled)'!$Y$8:$Y$37,0))</f>
        <v>45500</v>
      </c>
      <c r="G69" s="119">
        <f t="shared" si="3"/>
        <v>0.03</v>
      </c>
      <c r="H69" s="47">
        <f t="shared" si="4"/>
        <v>681135</v>
      </c>
      <c r="I69" s="50" t="s">
        <v>278</v>
      </c>
      <c r="J69" s="124">
        <f t="shared" si="5"/>
        <v>755</v>
      </c>
      <c r="K69" s="124">
        <f>SUMIF(Table1316[Category],Table14174[[#This Row],[Category]],Table1316[[Quantity ]])</f>
        <v>299</v>
      </c>
      <c r="L69" s="124">
        <f>Table14174[[#This Row],[Inventory]]-Table14174[[#This Row],[Update ]]</f>
        <v>456</v>
      </c>
    </row>
    <row r="70" spans="1:12" x14ac:dyDescent="0.2">
      <c r="A70" s="125">
        <v>44967</v>
      </c>
      <c r="B70" s="9" t="s">
        <v>36</v>
      </c>
      <c r="C70" s="50" t="s">
        <v>278</v>
      </c>
      <c r="D70" s="50" t="s">
        <v>41</v>
      </c>
      <c r="E70" s="9">
        <v>13</v>
      </c>
      <c r="F70" s="47">
        <f>INDEX('Master (Filled)'!$Z$8:$Z$37,MATCH(D70,'Master (Filled)'!$Y$8:$Y$37,0))</f>
        <v>85500</v>
      </c>
      <c r="G70" s="119">
        <f t="shared" si="3"/>
        <v>0.03</v>
      </c>
      <c r="H70" s="47">
        <f t="shared" si="4"/>
        <v>1108935</v>
      </c>
      <c r="I70" s="50" t="s">
        <v>278</v>
      </c>
      <c r="J70" s="124">
        <f t="shared" si="5"/>
        <v>755</v>
      </c>
      <c r="K70" s="124">
        <f>SUMIF(Table1316[Category],Table14174[[#This Row],[Category]],Table1316[[Quantity ]])</f>
        <v>299</v>
      </c>
      <c r="L70" s="124">
        <f>Table14174[[#This Row],[Inventory]]-Table14174[[#This Row],[Update ]]</f>
        <v>456</v>
      </c>
    </row>
    <row r="71" spans="1:12" x14ac:dyDescent="0.2">
      <c r="A71" s="125">
        <v>44967</v>
      </c>
      <c r="B71" s="9" t="s">
        <v>52</v>
      </c>
      <c r="C71" s="50" t="s">
        <v>276</v>
      </c>
      <c r="D71" s="49" t="s">
        <v>92</v>
      </c>
      <c r="E71" s="9">
        <v>2</v>
      </c>
      <c r="F71" s="47">
        <f>INDEX('Master (Filled)'!$Z$8:$Z$37,MATCH(D71,'Master (Filled)'!$Y$8:$Y$37,0))</f>
        <v>55000</v>
      </c>
      <c r="G71" s="119">
        <f t="shared" si="3"/>
        <v>0.02</v>
      </c>
      <c r="H71" s="47">
        <f t="shared" si="4"/>
        <v>108900</v>
      </c>
      <c r="I71" s="50" t="s">
        <v>276</v>
      </c>
      <c r="J71" s="124">
        <f t="shared" si="5"/>
        <v>755</v>
      </c>
      <c r="K71" s="124">
        <f>SUMIF(Table1316[Category],Table14174[[#This Row],[Category]],Table1316[[Quantity ]])</f>
        <v>345</v>
      </c>
      <c r="L71" s="124">
        <f>Table14174[[#This Row],[Inventory]]-Table14174[[#This Row],[Update ]]</f>
        <v>410</v>
      </c>
    </row>
    <row r="72" spans="1:12" x14ac:dyDescent="0.2">
      <c r="A72" s="125">
        <v>44967</v>
      </c>
      <c r="B72" s="9" t="s">
        <v>56</v>
      </c>
      <c r="C72" s="50" t="s">
        <v>276</v>
      </c>
      <c r="D72" s="49" t="s">
        <v>92</v>
      </c>
      <c r="E72" s="9">
        <v>2</v>
      </c>
      <c r="F72" s="47">
        <f>INDEX('Master (Filled)'!$Z$8:$Z$37,MATCH(D72,'Master (Filled)'!$Y$8:$Y$37,0))</f>
        <v>55000</v>
      </c>
      <c r="G72" s="119">
        <f t="shared" si="3"/>
        <v>0.02</v>
      </c>
      <c r="H72" s="47">
        <f t="shared" si="4"/>
        <v>108900</v>
      </c>
      <c r="I72" s="50" t="s">
        <v>276</v>
      </c>
      <c r="J72" s="124">
        <f t="shared" si="5"/>
        <v>755</v>
      </c>
      <c r="K72" s="124">
        <f>SUMIF(Table1316[Category],Table14174[[#This Row],[Category]],Table1316[[Quantity ]])</f>
        <v>345</v>
      </c>
      <c r="L72" s="124">
        <f>Table14174[[#This Row],[Inventory]]-Table14174[[#This Row],[Update ]]</f>
        <v>410</v>
      </c>
    </row>
    <row r="73" spans="1:12" x14ac:dyDescent="0.2">
      <c r="A73" s="125">
        <v>44967</v>
      </c>
      <c r="B73" s="9" t="s">
        <v>59</v>
      </c>
      <c r="C73" s="50" t="s">
        <v>276</v>
      </c>
      <c r="D73" s="49" t="s">
        <v>159</v>
      </c>
      <c r="E73" s="9">
        <v>2</v>
      </c>
      <c r="F73" s="47">
        <f>INDEX('Master (Filled)'!$Z$8:$Z$37,MATCH(D73,'Master (Filled)'!$Y$8:$Y$37,0))</f>
        <v>70000</v>
      </c>
      <c r="G73" s="119">
        <f t="shared" si="3"/>
        <v>0.02</v>
      </c>
      <c r="H73" s="47">
        <f t="shared" si="4"/>
        <v>138600</v>
      </c>
      <c r="I73" s="50" t="s">
        <v>276</v>
      </c>
      <c r="J73" s="124">
        <f t="shared" si="5"/>
        <v>755</v>
      </c>
      <c r="K73" s="124">
        <f>SUMIF(Table1316[Category],Table14174[[#This Row],[Category]],Table1316[[Quantity ]])</f>
        <v>345</v>
      </c>
      <c r="L73" s="124">
        <f>Table14174[[#This Row],[Inventory]]-Table14174[[#This Row],[Update ]]</f>
        <v>410</v>
      </c>
    </row>
    <row r="74" spans="1:12" x14ac:dyDescent="0.2">
      <c r="A74" s="125">
        <v>44967</v>
      </c>
      <c r="B74" s="9" t="s">
        <v>61</v>
      </c>
      <c r="C74" s="50" t="s">
        <v>282</v>
      </c>
      <c r="D74" s="49" t="s">
        <v>62</v>
      </c>
      <c r="E74" s="9">
        <v>3</v>
      </c>
      <c r="F74" s="47">
        <f>INDEX('Master (Filled)'!$Z$8:$Z$37,MATCH(D74,'Master (Filled)'!$Y$8:$Y$37,0))</f>
        <v>75000</v>
      </c>
      <c r="G74" s="119">
        <f t="shared" si="3"/>
        <v>0.02</v>
      </c>
      <c r="H74" s="47">
        <f t="shared" si="4"/>
        <v>223500</v>
      </c>
      <c r="I74" s="50" t="s">
        <v>282</v>
      </c>
      <c r="J74" s="124">
        <f t="shared" si="5"/>
        <v>755</v>
      </c>
      <c r="K74" s="124">
        <f>SUMIF(Table1316[Category],Table14174[[#This Row],[Category]],Table1316[[Quantity ]])</f>
        <v>215</v>
      </c>
      <c r="L74" s="124">
        <f>Table14174[[#This Row],[Inventory]]-Table14174[[#This Row],[Update ]]</f>
        <v>540</v>
      </c>
    </row>
    <row r="75" spans="1:12" x14ac:dyDescent="0.2">
      <c r="A75" s="125">
        <v>44967</v>
      </c>
      <c r="B75" s="9" t="s">
        <v>61</v>
      </c>
      <c r="C75" s="50" t="s">
        <v>282</v>
      </c>
      <c r="D75" s="49" t="s">
        <v>64</v>
      </c>
      <c r="E75" s="9">
        <v>4</v>
      </c>
      <c r="F75" s="47">
        <f>INDEX('Master (Filled)'!$Z$8:$Z$37,MATCH(D75,'Master (Filled)'!$Y$8:$Y$37,0))</f>
        <v>85000</v>
      </c>
      <c r="G75" s="119">
        <f t="shared" si="3"/>
        <v>0.02</v>
      </c>
      <c r="H75" s="47">
        <f t="shared" si="4"/>
        <v>338300</v>
      </c>
      <c r="I75" s="50" t="s">
        <v>282</v>
      </c>
      <c r="J75" s="124">
        <f t="shared" si="5"/>
        <v>755</v>
      </c>
      <c r="K75" s="124">
        <f>SUMIF(Table1316[Category],Table14174[[#This Row],[Category]],Table1316[[Quantity ]])</f>
        <v>215</v>
      </c>
      <c r="L75" s="124">
        <f>Table14174[[#This Row],[Inventory]]-Table14174[[#This Row],[Update ]]</f>
        <v>540</v>
      </c>
    </row>
    <row r="76" spans="1:12" x14ac:dyDescent="0.2">
      <c r="A76" s="125">
        <v>44967</v>
      </c>
      <c r="B76" s="9" t="s">
        <v>67</v>
      </c>
      <c r="C76" s="50" t="s">
        <v>282</v>
      </c>
      <c r="D76" s="49" t="s">
        <v>62</v>
      </c>
      <c r="E76" s="9">
        <v>5</v>
      </c>
      <c r="F76" s="47">
        <f>INDEX('Master (Filled)'!$Z$8:$Z$37,MATCH(D76,'Master (Filled)'!$Y$8:$Y$37,0))</f>
        <v>75000</v>
      </c>
      <c r="G76" s="119">
        <f t="shared" si="3"/>
        <v>0.02</v>
      </c>
      <c r="H76" s="47">
        <f t="shared" si="4"/>
        <v>373500</v>
      </c>
      <c r="I76" s="50" t="s">
        <v>282</v>
      </c>
      <c r="J76" s="124">
        <f t="shared" si="5"/>
        <v>755</v>
      </c>
      <c r="K76" s="124">
        <f>SUMIF(Table1316[Category],Table14174[[#This Row],[Category]],Table1316[[Quantity ]])</f>
        <v>215</v>
      </c>
      <c r="L76" s="124">
        <f>Table14174[[#This Row],[Inventory]]-Table14174[[#This Row],[Update ]]</f>
        <v>540</v>
      </c>
    </row>
    <row r="77" spans="1:12" x14ac:dyDescent="0.2">
      <c r="A77" s="125">
        <v>44967</v>
      </c>
      <c r="B77" s="9" t="s">
        <v>67</v>
      </c>
      <c r="C77" s="50" t="s">
        <v>282</v>
      </c>
      <c r="D77" s="49" t="s">
        <v>72</v>
      </c>
      <c r="E77" s="9">
        <v>6</v>
      </c>
      <c r="F77" s="47">
        <f>INDEX('Master (Filled)'!$Z$8:$Z$37,MATCH(D77,'Master (Filled)'!$Y$8:$Y$37,0))</f>
        <v>110500</v>
      </c>
      <c r="G77" s="119">
        <f t="shared" si="3"/>
        <v>0.02</v>
      </c>
      <c r="H77" s="47">
        <f t="shared" si="4"/>
        <v>660790</v>
      </c>
      <c r="I77" s="50" t="s">
        <v>282</v>
      </c>
      <c r="J77" s="124">
        <f t="shared" si="5"/>
        <v>755</v>
      </c>
      <c r="K77" s="124">
        <f>SUMIF(Table1316[Category],Table14174[[#This Row],[Category]],Table1316[[Quantity ]])</f>
        <v>215</v>
      </c>
      <c r="L77" s="124">
        <f>Table14174[[#This Row],[Inventory]]-Table14174[[#This Row],[Update ]]</f>
        <v>540</v>
      </c>
    </row>
    <row r="78" spans="1:12" x14ac:dyDescent="0.2">
      <c r="A78" s="125">
        <v>44967</v>
      </c>
      <c r="B78" s="9" t="s">
        <v>67</v>
      </c>
      <c r="C78" s="50" t="s">
        <v>282</v>
      </c>
      <c r="D78" s="49" t="s">
        <v>64</v>
      </c>
      <c r="E78" s="9">
        <v>10</v>
      </c>
      <c r="F78" s="47">
        <f>INDEX('Master (Filled)'!$Z$8:$Z$37,MATCH(D78,'Master (Filled)'!$Y$8:$Y$37,0))</f>
        <v>85000</v>
      </c>
      <c r="G78" s="119">
        <f t="shared" si="3"/>
        <v>0.03</v>
      </c>
      <c r="H78" s="47">
        <f t="shared" si="4"/>
        <v>847450</v>
      </c>
      <c r="I78" s="50" t="s">
        <v>282</v>
      </c>
      <c r="J78" s="124">
        <f t="shared" si="5"/>
        <v>755</v>
      </c>
      <c r="K78" s="124">
        <f>SUMIF(Table1316[Category],Table14174[[#This Row],[Category]],Table1316[[Quantity ]])</f>
        <v>215</v>
      </c>
      <c r="L78" s="124">
        <f>Table14174[[#This Row],[Inventory]]-Table14174[[#This Row],[Update ]]</f>
        <v>540</v>
      </c>
    </row>
    <row r="79" spans="1:12" x14ac:dyDescent="0.2">
      <c r="A79" s="125">
        <v>44968</v>
      </c>
      <c r="B79" s="9" t="s">
        <v>67</v>
      </c>
      <c r="C79" s="50" t="s">
        <v>282</v>
      </c>
      <c r="D79" s="49" t="s">
        <v>62</v>
      </c>
      <c r="E79" s="9">
        <v>9</v>
      </c>
      <c r="F79" s="47">
        <f>INDEX('Master (Filled)'!$Z$8:$Z$37,MATCH(D79,'Master (Filled)'!$Y$8:$Y$37,0))</f>
        <v>75000</v>
      </c>
      <c r="G79" s="119">
        <f t="shared" si="3"/>
        <v>0.03</v>
      </c>
      <c r="H79" s="47">
        <f t="shared" si="4"/>
        <v>672750</v>
      </c>
      <c r="I79" s="50" t="s">
        <v>282</v>
      </c>
      <c r="J79" s="124">
        <f t="shared" si="5"/>
        <v>755</v>
      </c>
      <c r="K79" s="124">
        <f>SUMIF(Table1316[Category],Table14174[[#This Row],[Category]],Table1316[[Quantity ]])</f>
        <v>215</v>
      </c>
      <c r="L79" s="124">
        <f>Table14174[[#This Row],[Inventory]]-Table14174[[#This Row],[Update ]]</f>
        <v>540</v>
      </c>
    </row>
    <row r="80" spans="1:12" x14ac:dyDescent="0.2">
      <c r="A80" s="125">
        <v>44968</v>
      </c>
      <c r="B80" s="9" t="s">
        <v>77</v>
      </c>
      <c r="C80" s="50" t="s">
        <v>282</v>
      </c>
      <c r="D80" s="49" t="s">
        <v>72</v>
      </c>
      <c r="E80" s="9">
        <v>5</v>
      </c>
      <c r="F80" s="47">
        <f>INDEX('Master (Filled)'!$Z$8:$Z$37,MATCH(D80,'Master (Filled)'!$Y$8:$Y$37,0))</f>
        <v>110500</v>
      </c>
      <c r="G80" s="119">
        <f t="shared" si="3"/>
        <v>0.02</v>
      </c>
      <c r="H80" s="47">
        <f t="shared" si="4"/>
        <v>550290</v>
      </c>
      <c r="I80" s="50" t="s">
        <v>282</v>
      </c>
      <c r="J80" s="124">
        <f t="shared" si="5"/>
        <v>755</v>
      </c>
      <c r="K80" s="124">
        <f>SUMIF(Table1316[Category],Table14174[[#This Row],[Category]],Table1316[[Quantity ]])</f>
        <v>215</v>
      </c>
      <c r="L80" s="124">
        <f>Table14174[[#This Row],[Inventory]]-Table14174[[#This Row],[Update ]]</f>
        <v>540</v>
      </c>
    </row>
    <row r="81" spans="1:12" x14ac:dyDescent="0.2">
      <c r="A81" s="125">
        <v>44968</v>
      </c>
      <c r="B81" s="9" t="s">
        <v>80</v>
      </c>
      <c r="C81" s="50" t="s">
        <v>282</v>
      </c>
      <c r="D81" s="49" t="s">
        <v>72</v>
      </c>
      <c r="E81" s="9">
        <v>5</v>
      </c>
      <c r="F81" s="47">
        <f>INDEX('Master (Filled)'!$Z$8:$Z$37,MATCH(D81,'Master (Filled)'!$Y$8:$Y$37,0))</f>
        <v>110500</v>
      </c>
      <c r="G81" s="119">
        <f t="shared" si="3"/>
        <v>0.02</v>
      </c>
      <c r="H81" s="47">
        <f t="shared" si="4"/>
        <v>550290</v>
      </c>
      <c r="I81" s="50" t="s">
        <v>282</v>
      </c>
      <c r="J81" s="124">
        <f t="shared" si="5"/>
        <v>755</v>
      </c>
      <c r="K81" s="124">
        <f>SUMIF(Table1316[Category],Table14174[[#This Row],[Category]],Table1316[[Quantity ]])</f>
        <v>215</v>
      </c>
      <c r="L81" s="124">
        <f>Table14174[[#This Row],[Inventory]]-Table14174[[#This Row],[Update ]]</f>
        <v>540</v>
      </c>
    </row>
    <row r="82" spans="1:12" x14ac:dyDescent="0.2">
      <c r="A82" s="125">
        <v>44968</v>
      </c>
      <c r="B82" s="9" t="s">
        <v>61</v>
      </c>
      <c r="C82" s="50" t="s">
        <v>282</v>
      </c>
      <c r="D82" s="49" t="s">
        <v>62</v>
      </c>
      <c r="E82" s="9">
        <v>3</v>
      </c>
      <c r="F82" s="47">
        <f>INDEX('Master (Filled)'!$Z$8:$Z$37,MATCH(D82,'Master (Filled)'!$Y$8:$Y$37,0))</f>
        <v>75000</v>
      </c>
      <c r="G82" s="119">
        <f t="shared" si="3"/>
        <v>0.02</v>
      </c>
      <c r="H82" s="47">
        <f t="shared" si="4"/>
        <v>223500</v>
      </c>
      <c r="I82" s="50" t="s">
        <v>282</v>
      </c>
      <c r="J82" s="124">
        <f t="shared" si="5"/>
        <v>755</v>
      </c>
      <c r="K82" s="124">
        <f>SUMIF(Table1316[Category],Table14174[[#This Row],[Category]],Table1316[[Quantity ]])</f>
        <v>215</v>
      </c>
      <c r="L82" s="124">
        <f>Table14174[[#This Row],[Inventory]]-Table14174[[#This Row],[Update ]]</f>
        <v>540</v>
      </c>
    </row>
    <row r="83" spans="1:12" x14ac:dyDescent="0.2">
      <c r="A83" s="125">
        <v>44969</v>
      </c>
      <c r="B83" s="9" t="s">
        <v>24</v>
      </c>
      <c r="C83" s="50" t="s">
        <v>280</v>
      </c>
      <c r="D83" s="50" t="s">
        <v>115</v>
      </c>
      <c r="E83" s="9">
        <v>2</v>
      </c>
      <c r="F83" s="47">
        <f>INDEX('Master (Filled)'!$Z$8:$Z$37,MATCH(D83,'Master (Filled)'!$Y$8:$Y$37,0))</f>
        <v>89999</v>
      </c>
      <c r="G83" s="119">
        <f t="shared" si="3"/>
        <v>0.02</v>
      </c>
      <c r="H83" s="47">
        <f t="shared" si="4"/>
        <v>178198.02</v>
      </c>
      <c r="I83" s="50" t="s">
        <v>280</v>
      </c>
      <c r="J83" s="124">
        <f t="shared" si="5"/>
        <v>755</v>
      </c>
      <c r="K83" s="124">
        <f>SUMIF(Table1316[Category],Table14174[[#This Row],[Category]],Table1316[[Quantity ]])</f>
        <v>241</v>
      </c>
      <c r="L83" s="124">
        <f>Table14174[[#This Row],[Inventory]]-Table14174[[#This Row],[Update ]]</f>
        <v>514</v>
      </c>
    </row>
    <row r="84" spans="1:12" x14ac:dyDescent="0.2">
      <c r="A84" s="125">
        <v>44969</v>
      </c>
      <c r="B84" s="9" t="s">
        <v>19</v>
      </c>
      <c r="C84" s="50" t="s">
        <v>280</v>
      </c>
      <c r="D84" s="50" t="s">
        <v>25</v>
      </c>
      <c r="E84" s="9">
        <v>2</v>
      </c>
      <c r="F84" s="47">
        <f>INDEX('Master (Filled)'!$Z$8:$Z$37,MATCH(D84,'Master (Filled)'!$Y$8:$Y$37,0))</f>
        <v>69999</v>
      </c>
      <c r="G84" s="119">
        <f t="shared" si="3"/>
        <v>0.02</v>
      </c>
      <c r="H84" s="47">
        <f t="shared" si="4"/>
        <v>138598.01999999999</v>
      </c>
      <c r="I84" s="50" t="s">
        <v>280</v>
      </c>
      <c r="J84" s="124">
        <f t="shared" si="5"/>
        <v>755</v>
      </c>
      <c r="K84" s="124">
        <f>SUMIF(Table1316[Category],Table14174[[#This Row],[Category]],Table1316[[Quantity ]])</f>
        <v>241</v>
      </c>
      <c r="L84" s="124">
        <f>Table14174[[#This Row],[Inventory]]-Table14174[[#This Row],[Update ]]</f>
        <v>514</v>
      </c>
    </row>
    <row r="85" spans="1:12" x14ac:dyDescent="0.2">
      <c r="A85" s="125">
        <v>44969</v>
      </c>
      <c r="B85" s="9" t="s">
        <v>31</v>
      </c>
      <c r="C85" s="50" t="s">
        <v>280</v>
      </c>
      <c r="D85" s="50" t="s">
        <v>25</v>
      </c>
      <c r="E85" s="9">
        <v>2</v>
      </c>
      <c r="F85" s="47">
        <f>INDEX('Master (Filled)'!$Z$8:$Z$37,MATCH(D85,'Master (Filled)'!$Y$8:$Y$37,0))</f>
        <v>69999</v>
      </c>
      <c r="G85" s="119">
        <f t="shared" si="3"/>
        <v>0.02</v>
      </c>
      <c r="H85" s="47">
        <f t="shared" si="4"/>
        <v>138598.01999999999</v>
      </c>
      <c r="I85" s="50" t="s">
        <v>280</v>
      </c>
      <c r="J85" s="124">
        <f t="shared" si="5"/>
        <v>755</v>
      </c>
      <c r="K85" s="124">
        <f>SUMIF(Table1316[Category],Table14174[[#This Row],[Category]],Table1316[[Quantity ]])</f>
        <v>241</v>
      </c>
      <c r="L85" s="124">
        <f>Table14174[[#This Row],[Inventory]]-Table14174[[#This Row],[Update ]]</f>
        <v>514</v>
      </c>
    </row>
    <row r="86" spans="1:12" x14ac:dyDescent="0.2">
      <c r="A86" s="125">
        <v>44969</v>
      </c>
      <c r="B86" s="9" t="s">
        <v>110</v>
      </c>
      <c r="C86" s="50" t="s">
        <v>280</v>
      </c>
      <c r="D86" s="50" t="s">
        <v>20</v>
      </c>
      <c r="E86" s="9">
        <v>4</v>
      </c>
      <c r="F86" s="47">
        <f>INDEX('Master (Filled)'!$Z$8:$Z$37,MATCH(D86,'Master (Filled)'!$Y$8:$Y$37,0))</f>
        <v>49999</v>
      </c>
      <c r="G86" s="119">
        <f t="shared" si="3"/>
        <v>0.02</v>
      </c>
      <c r="H86" s="47">
        <f t="shared" si="4"/>
        <v>198996.02</v>
      </c>
      <c r="I86" s="50" t="s">
        <v>280</v>
      </c>
      <c r="J86" s="124">
        <f>IF(D87="Food Product",700,IF(D87="Non Food Product",900,IF(D87="General Merchandise Product",855,755)))</f>
        <v>755</v>
      </c>
      <c r="K86" s="124">
        <f>SUMIF(Table1316[Category],Table14174[[#This Row],[Category]],Table1316[[Quantity ]])</f>
        <v>241</v>
      </c>
      <c r="L86" s="124">
        <f>Table14174[[#This Row],[Inventory]]-Table14174[[#This Row],[Update ]]</f>
        <v>514</v>
      </c>
    </row>
    <row r="87" spans="1:12" x14ac:dyDescent="0.2">
      <c r="A87" s="125">
        <v>44969</v>
      </c>
      <c r="B87" s="9" t="s">
        <v>36</v>
      </c>
      <c r="C87" s="50" t="s">
        <v>278</v>
      </c>
      <c r="D87" s="50" t="s">
        <v>41</v>
      </c>
      <c r="E87" s="9">
        <v>5</v>
      </c>
      <c r="F87" s="47">
        <f>INDEX('Master (Filled)'!$Z$8:$Z$37,MATCH(D87,'Master (Filled)'!$Y$8:$Y$37,0))</f>
        <v>85500</v>
      </c>
      <c r="G87" s="119">
        <f t="shared" si="3"/>
        <v>0.02</v>
      </c>
      <c r="H87" s="47">
        <f t="shared" si="4"/>
        <v>425790</v>
      </c>
      <c r="I87" s="50" t="s">
        <v>278</v>
      </c>
      <c r="J87" s="124">
        <f>IF(D88="Food Product",700,IF(D88="Non Food Product",900,IF(D88="General Merchandise Product",855,755)))</f>
        <v>755</v>
      </c>
      <c r="K87" s="124">
        <f>SUMIF(Table1316[Category],Table14174[[#This Row],[Category]],Table1316[[Quantity ]])</f>
        <v>299</v>
      </c>
      <c r="L87" s="124">
        <f>Table14174[[#This Row],[Inventory]]-Table14174[[#This Row],[Update ]]</f>
        <v>456</v>
      </c>
    </row>
    <row r="88" spans="1:12" x14ac:dyDescent="0.2">
      <c r="A88" s="125">
        <v>44970</v>
      </c>
      <c r="B88" s="9" t="s">
        <v>40</v>
      </c>
      <c r="C88" s="50" t="s">
        <v>278</v>
      </c>
      <c r="D88" s="50" t="s">
        <v>41</v>
      </c>
      <c r="E88" s="9">
        <v>5</v>
      </c>
      <c r="F88" s="47">
        <f>INDEX('Master (Filled)'!$Z$8:$Z$37,MATCH(D88,'Master (Filled)'!$Y$8:$Y$37,0))</f>
        <v>85500</v>
      </c>
      <c r="G88" s="119">
        <f t="shared" si="3"/>
        <v>0.02</v>
      </c>
      <c r="H88" s="47">
        <f t="shared" si="4"/>
        <v>425790</v>
      </c>
      <c r="I88" s="50" t="s">
        <v>278</v>
      </c>
      <c r="J88" s="124">
        <f t="shared" ref="J88:J151" si="6">IF(D88="Food Product",700,IF(D88="Non Food Product",900,IF(D88="General Merchandise Product",855,755)))</f>
        <v>755</v>
      </c>
      <c r="K88" s="124">
        <f>SUMIF(Table1316[Category],Table14174[[#This Row],[Category]],Table1316[[Quantity ]])</f>
        <v>299</v>
      </c>
      <c r="L88" s="124">
        <f>Table14174[[#This Row],[Inventory]]-Table14174[[#This Row],[Update ]]</f>
        <v>456</v>
      </c>
    </row>
    <row r="89" spans="1:12" x14ac:dyDescent="0.2">
      <c r="A89" s="125">
        <v>44970</v>
      </c>
      <c r="B89" s="9" t="s">
        <v>67</v>
      </c>
      <c r="C89" s="50" t="s">
        <v>282</v>
      </c>
      <c r="D89" s="49" t="s">
        <v>62</v>
      </c>
      <c r="E89" s="9">
        <v>7</v>
      </c>
      <c r="F89" s="47">
        <f>INDEX('Master (Filled)'!$Z$8:$Z$37,MATCH(D89,'Master (Filled)'!$Y$8:$Y$37,0))</f>
        <v>75000</v>
      </c>
      <c r="G89" s="119">
        <f t="shared" si="3"/>
        <v>0.02</v>
      </c>
      <c r="H89" s="47">
        <f t="shared" si="4"/>
        <v>523500</v>
      </c>
      <c r="I89" s="50" t="s">
        <v>282</v>
      </c>
      <c r="J89" s="124">
        <f t="shared" si="6"/>
        <v>755</v>
      </c>
      <c r="K89" s="124">
        <f>SUMIF(Table1316[Category],Table14174[[#This Row],[Category]],Table1316[[Quantity ]])</f>
        <v>215</v>
      </c>
      <c r="L89" s="124">
        <f>Table14174[[#This Row],[Inventory]]-Table14174[[#This Row],[Update ]]</f>
        <v>540</v>
      </c>
    </row>
    <row r="90" spans="1:12" x14ac:dyDescent="0.2">
      <c r="A90" s="125">
        <v>44970</v>
      </c>
      <c r="B90" s="9" t="s">
        <v>31</v>
      </c>
      <c r="C90" s="50" t="s">
        <v>280</v>
      </c>
      <c r="D90" s="50" t="s">
        <v>25</v>
      </c>
      <c r="E90" s="9">
        <v>7</v>
      </c>
      <c r="F90" s="47">
        <f>INDEX('Master (Filled)'!$Z$8:$Z$37,MATCH(D90,'Master (Filled)'!$Y$8:$Y$37,0))</f>
        <v>69999</v>
      </c>
      <c r="G90" s="119">
        <f t="shared" si="3"/>
        <v>0.02</v>
      </c>
      <c r="H90" s="47">
        <f t="shared" si="4"/>
        <v>488593.02</v>
      </c>
      <c r="I90" s="50" t="s">
        <v>280</v>
      </c>
      <c r="J90" s="124">
        <f t="shared" si="6"/>
        <v>755</v>
      </c>
      <c r="K90" s="124">
        <f>SUMIF(Table1316[Category],Table14174[[#This Row],[Category]],Table1316[[Quantity ]])</f>
        <v>241</v>
      </c>
      <c r="L90" s="124">
        <f>Table14174[[#This Row],[Inventory]]-Table14174[[#This Row],[Update ]]</f>
        <v>514</v>
      </c>
    </row>
    <row r="91" spans="1:12" x14ac:dyDescent="0.2">
      <c r="A91" s="125">
        <v>44970</v>
      </c>
      <c r="B91" s="9" t="s">
        <v>36</v>
      </c>
      <c r="C91" s="50" t="s">
        <v>278</v>
      </c>
      <c r="D91" s="50" t="s">
        <v>41</v>
      </c>
      <c r="E91" s="9">
        <v>7</v>
      </c>
      <c r="F91" s="47">
        <f>INDEX('Master (Filled)'!$Z$8:$Z$37,MATCH(D91,'Master (Filled)'!$Y$8:$Y$37,0))</f>
        <v>85500</v>
      </c>
      <c r="G91" s="119">
        <f t="shared" si="3"/>
        <v>0.02</v>
      </c>
      <c r="H91" s="47">
        <f t="shared" si="4"/>
        <v>596790</v>
      </c>
      <c r="I91" s="50" t="s">
        <v>278</v>
      </c>
      <c r="J91" s="124">
        <f t="shared" si="6"/>
        <v>755</v>
      </c>
      <c r="K91" s="124">
        <f>SUMIF(Table1316[Category],Table14174[[#This Row],[Category]],Table1316[[Quantity ]])</f>
        <v>299</v>
      </c>
      <c r="L91" s="124">
        <f>Table14174[[#This Row],[Inventory]]-Table14174[[#This Row],[Update ]]</f>
        <v>456</v>
      </c>
    </row>
    <row r="92" spans="1:12" x14ac:dyDescent="0.2">
      <c r="A92" s="125">
        <v>44970</v>
      </c>
      <c r="B92" s="9" t="s">
        <v>40</v>
      </c>
      <c r="C92" s="50" t="s">
        <v>278</v>
      </c>
      <c r="D92" s="50" t="s">
        <v>41</v>
      </c>
      <c r="E92" s="9">
        <v>8</v>
      </c>
      <c r="F92" s="47">
        <f>INDEX('Master (Filled)'!$Z$8:$Z$37,MATCH(D92,'Master (Filled)'!$Y$8:$Y$37,0))</f>
        <v>85500</v>
      </c>
      <c r="G92" s="119">
        <f t="shared" si="3"/>
        <v>0.02</v>
      </c>
      <c r="H92" s="47">
        <f t="shared" si="4"/>
        <v>682290</v>
      </c>
      <c r="I92" s="50" t="s">
        <v>278</v>
      </c>
      <c r="J92" s="124">
        <f t="shared" si="6"/>
        <v>755</v>
      </c>
      <c r="K92" s="124">
        <f>SUMIF(Table1316[Category],Table14174[[#This Row],[Category]],Table1316[[Quantity ]])</f>
        <v>299</v>
      </c>
      <c r="L92" s="124">
        <f>Table14174[[#This Row],[Inventory]]-Table14174[[#This Row],[Update ]]</f>
        <v>456</v>
      </c>
    </row>
    <row r="93" spans="1:12" x14ac:dyDescent="0.2">
      <c r="A93" s="125">
        <v>44970</v>
      </c>
      <c r="B93" s="9" t="s">
        <v>31</v>
      </c>
      <c r="C93" s="50" t="s">
        <v>280</v>
      </c>
      <c r="D93" s="50" t="s">
        <v>115</v>
      </c>
      <c r="E93" s="9">
        <v>8</v>
      </c>
      <c r="F93" s="47">
        <f>INDEX('Master (Filled)'!$Z$8:$Z$37,MATCH(D93,'Master (Filled)'!$Y$8:$Y$37,0))</f>
        <v>89999</v>
      </c>
      <c r="G93" s="119">
        <f t="shared" si="3"/>
        <v>0.02</v>
      </c>
      <c r="H93" s="47">
        <f t="shared" si="4"/>
        <v>718192.02</v>
      </c>
      <c r="I93" s="50" t="s">
        <v>280</v>
      </c>
      <c r="J93" s="124">
        <f t="shared" si="6"/>
        <v>755</v>
      </c>
      <c r="K93" s="124">
        <f>SUMIF(Table1316[Category],Table14174[[#This Row],[Category]],Table1316[[Quantity ]])</f>
        <v>241</v>
      </c>
      <c r="L93" s="124">
        <f>Table14174[[#This Row],[Inventory]]-Table14174[[#This Row],[Update ]]</f>
        <v>514</v>
      </c>
    </row>
    <row r="94" spans="1:12" x14ac:dyDescent="0.2">
      <c r="A94" s="125">
        <v>44971</v>
      </c>
      <c r="B94" s="9" t="s">
        <v>36</v>
      </c>
      <c r="C94" s="50" t="s">
        <v>278</v>
      </c>
      <c r="D94" s="50" t="s">
        <v>37</v>
      </c>
      <c r="E94" s="9">
        <v>9</v>
      </c>
      <c r="F94" s="47">
        <f>INDEX('Master (Filled)'!$Z$8:$Z$37,MATCH(D94,'Master (Filled)'!$Y$8:$Y$37,0))</f>
        <v>195000</v>
      </c>
      <c r="G94" s="119">
        <f t="shared" si="3"/>
        <v>0.03</v>
      </c>
      <c r="H94" s="47">
        <f t="shared" si="4"/>
        <v>1749150</v>
      </c>
      <c r="I94" s="50" t="s">
        <v>278</v>
      </c>
      <c r="J94" s="124">
        <f t="shared" si="6"/>
        <v>755</v>
      </c>
      <c r="K94" s="124">
        <f>SUMIF(Table1316[Category],Table14174[[#This Row],[Category]],Table1316[[Quantity ]])</f>
        <v>299</v>
      </c>
      <c r="L94" s="124">
        <f>Table14174[[#This Row],[Inventory]]-Table14174[[#This Row],[Update ]]</f>
        <v>456</v>
      </c>
    </row>
    <row r="95" spans="1:12" x14ac:dyDescent="0.2">
      <c r="A95" s="125">
        <v>44971</v>
      </c>
      <c r="B95" s="9" t="s">
        <v>40</v>
      </c>
      <c r="C95" s="50" t="s">
        <v>278</v>
      </c>
      <c r="D95" s="50" t="s">
        <v>37</v>
      </c>
      <c r="E95" s="9">
        <v>12</v>
      </c>
      <c r="F95" s="47">
        <f>INDEX('Master (Filled)'!$Z$8:$Z$37,MATCH(D95,'Master (Filled)'!$Y$8:$Y$37,0))</f>
        <v>195000</v>
      </c>
      <c r="G95" s="119">
        <f t="shared" si="3"/>
        <v>0.03</v>
      </c>
      <c r="H95" s="47">
        <f t="shared" si="4"/>
        <v>2334150</v>
      </c>
      <c r="I95" s="50" t="s">
        <v>278</v>
      </c>
      <c r="J95" s="124">
        <f t="shared" si="6"/>
        <v>755</v>
      </c>
      <c r="K95" s="124">
        <f>SUMIF(Table1316[Category],Table14174[[#This Row],[Category]],Table1316[[Quantity ]])</f>
        <v>299</v>
      </c>
      <c r="L95" s="124">
        <f>Table14174[[#This Row],[Inventory]]-Table14174[[#This Row],[Update ]]</f>
        <v>456</v>
      </c>
    </row>
    <row r="96" spans="1:12" x14ac:dyDescent="0.2">
      <c r="A96" s="125">
        <v>44971</v>
      </c>
      <c r="B96" s="9" t="s">
        <v>31</v>
      </c>
      <c r="C96" s="50" t="s">
        <v>280</v>
      </c>
      <c r="D96" s="50" t="s">
        <v>115</v>
      </c>
      <c r="E96" s="9">
        <v>11</v>
      </c>
      <c r="F96" s="47">
        <f>INDEX('Master (Filled)'!$Z$8:$Z$37,MATCH(D96,'Master (Filled)'!$Y$8:$Y$37,0))</f>
        <v>89999</v>
      </c>
      <c r="G96" s="119">
        <f t="shared" si="3"/>
        <v>0.03</v>
      </c>
      <c r="H96" s="47">
        <f t="shared" si="4"/>
        <v>987289.03</v>
      </c>
      <c r="I96" s="50" t="s">
        <v>280</v>
      </c>
      <c r="J96" s="124">
        <f t="shared" si="6"/>
        <v>755</v>
      </c>
      <c r="K96" s="124">
        <f>SUMIF(Table1316[Category],Table14174[[#This Row],[Category]],Table1316[[Quantity ]])</f>
        <v>241</v>
      </c>
      <c r="L96" s="124">
        <f>Table14174[[#This Row],[Inventory]]-Table14174[[#This Row],[Update ]]</f>
        <v>514</v>
      </c>
    </row>
    <row r="97" spans="1:12" x14ac:dyDescent="0.2">
      <c r="A97" s="125">
        <v>44971</v>
      </c>
      <c r="B97" s="9" t="s">
        <v>67</v>
      </c>
      <c r="C97" s="50" t="s">
        <v>282</v>
      </c>
      <c r="D97" s="49" t="s">
        <v>62</v>
      </c>
      <c r="E97" s="9">
        <v>3</v>
      </c>
      <c r="F97" s="47">
        <f>INDEX('Master (Filled)'!$Z$8:$Z$37,MATCH(D97,'Master (Filled)'!$Y$8:$Y$37,0))</f>
        <v>75000</v>
      </c>
      <c r="G97" s="119">
        <f t="shared" si="3"/>
        <v>0.02</v>
      </c>
      <c r="H97" s="47">
        <f t="shared" si="4"/>
        <v>223500</v>
      </c>
      <c r="I97" s="50" t="s">
        <v>282</v>
      </c>
      <c r="J97" s="124">
        <f t="shared" si="6"/>
        <v>755</v>
      </c>
      <c r="K97" s="124">
        <f>SUMIF(Table1316[Category],Table14174[[#This Row],[Category]],Table1316[[Quantity ]])</f>
        <v>215</v>
      </c>
      <c r="L97" s="124">
        <f>Table14174[[#This Row],[Inventory]]-Table14174[[#This Row],[Update ]]</f>
        <v>540</v>
      </c>
    </row>
    <row r="98" spans="1:12" x14ac:dyDescent="0.2">
      <c r="A98" s="125">
        <v>44971</v>
      </c>
      <c r="B98" s="9" t="s">
        <v>31</v>
      </c>
      <c r="C98" s="50" t="s">
        <v>280</v>
      </c>
      <c r="D98" s="50" t="s">
        <v>25</v>
      </c>
      <c r="E98" s="9">
        <v>2</v>
      </c>
      <c r="F98" s="47">
        <f>INDEX('Master (Filled)'!$Z$8:$Z$37,MATCH(D98,'Master (Filled)'!$Y$8:$Y$37,0))</f>
        <v>69999</v>
      </c>
      <c r="G98" s="119">
        <f t="shared" si="3"/>
        <v>0.02</v>
      </c>
      <c r="H98" s="47">
        <f t="shared" si="4"/>
        <v>138598.01999999999</v>
      </c>
      <c r="I98" s="50" t="s">
        <v>280</v>
      </c>
      <c r="J98" s="124">
        <f t="shared" si="6"/>
        <v>755</v>
      </c>
      <c r="K98" s="124">
        <f>SUMIF(Table1316[Category],Table14174[[#This Row],[Category]],Table1316[[Quantity ]])</f>
        <v>241</v>
      </c>
      <c r="L98" s="124">
        <f>Table14174[[#This Row],[Inventory]]-Table14174[[#This Row],[Update ]]</f>
        <v>514</v>
      </c>
    </row>
    <row r="99" spans="1:12" x14ac:dyDescent="0.2">
      <c r="A99" s="125">
        <v>44972</v>
      </c>
      <c r="B99" s="9" t="s">
        <v>59</v>
      </c>
      <c r="C99" s="50" t="s">
        <v>276</v>
      </c>
      <c r="D99" s="49" t="s">
        <v>186</v>
      </c>
      <c r="E99" s="9">
        <v>2</v>
      </c>
      <c r="F99" s="47">
        <f>INDEX('Master (Filled)'!$Z$8:$Z$37,MATCH(D99,'Master (Filled)'!$Y$8:$Y$37,0))</f>
        <v>75000</v>
      </c>
      <c r="G99" s="119">
        <f t="shared" si="3"/>
        <v>0.02</v>
      </c>
      <c r="H99" s="47">
        <f t="shared" si="4"/>
        <v>148500</v>
      </c>
      <c r="I99" s="50" t="s">
        <v>276</v>
      </c>
      <c r="J99" s="124">
        <f t="shared" si="6"/>
        <v>755</v>
      </c>
      <c r="K99" s="124">
        <f>SUMIF(Table1316[Category],Table14174[[#This Row],[Category]],Table1316[[Quantity ]])</f>
        <v>345</v>
      </c>
      <c r="L99" s="124">
        <f>Table14174[[#This Row],[Inventory]]-Table14174[[#This Row],[Update ]]</f>
        <v>410</v>
      </c>
    </row>
    <row r="100" spans="1:12" x14ac:dyDescent="0.2">
      <c r="A100" s="125">
        <v>44972</v>
      </c>
      <c r="B100" s="9" t="s">
        <v>52</v>
      </c>
      <c r="C100" s="50" t="s">
        <v>276</v>
      </c>
      <c r="D100" s="49" t="s">
        <v>186</v>
      </c>
      <c r="E100" s="9">
        <v>4</v>
      </c>
      <c r="F100" s="47">
        <f>INDEX('Master (Filled)'!$Z$8:$Z$37,MATCH(D100,'Master (Filled)'!$Y$8:$Y$37,0))</f>
        <v>75000</v>
      </c>
      <c r="G100" s="119">
        <f t="shared" si="3"/>
        <v>0.02</v>
      </c>
      <c r="H100" s="47">
        <f t="shared" si="4"/>
        <v>298500</v>
      </c>
      <c r="I100" s="50" t="s">
        <v>276</v>
      </c>
      <c r="J100" s="124">
        <f t="shared" si="6"/>
        <v>755</v>
      </c>
      <c r="K100" s="124">
        <f>SUMIF(Table1316[Category],Table14174[[#This Row],[Category]],Table1316[[Quantity ]])</f>
        <v>345</v>
      </c>
      <c r="L100" s="124">
        <f>Table14174[[#This Row],[Inventory]]-Table14174[[#This Row],[Update ]]</f>
        <v>410</v>
      </c>
    </row>
    <row r="101" spans="1:12" x14ac:dyDescent="0.2">
      <c r="A101" s="125">
        <v>44972</v>
      </c>
      <c r="B101" s="9" t="s">
        <v>59</v>
      </c>
      <c r="C101" s="50" t="s">
        <v>276</v>
      </c>
      <c r="D101" s="49" t="s">
        <v>189</v>
      </c>
      <c r="E101" s="9">
        <v>4</v>
      </c>
      <c r="F101" s="47">
        <f>INDEX('Master (Filled)'!$Z$8:$Z$37,MATCH(D101,'Master (Filled)'!$Y$8:$Y$37,0))</f>
        <v>120000</v>
      </c>
      <c r="G101" s="119">
        <f t="shared" si="3"/>
        <v>0.02</v>
      </c>
      <c r="H101" s="47">
        <f t="shared" si="4"/>
        <v>477600</v>
      </c>
      <c r="I101" s="50" t="s">
        <v>276</v>
      </c>
      <c r="J101" s="124">
        <f t="shared" si="6"/>
        <v>755</v>
      </c>
      <c r="K101" s="124">
        <f>SUMIF(Table1316[Category],Table14174[[#This Row],[Category]],Table1316[[Quantity ]])</f>
        <v>345</v>
      </c>
      <c r="L101" s="124">
        <f>Table14174[[#This Row],[Inventory]]-Table14174[[#This Row],[Update ]]</f>
        <v>410</v>
      </c>
    </row>
    <row r="102" spans="1:12" x14ac:dyDescent="0.2">
      <c r="A102" s="125">
        <v>44972</v>
      </c>
      <c r="B102" s="9" t="s">
        <v>67</v>
      </c>
      <c r="C102" s="50" t="s">
        <v>282</v>
      </c>
      <c r="D102" s="49" t="s">
        <v>72</v>
      </c>
      <c r="E102" s="9">
        <v>5</v>
      </c>
      <c r="F102" s="47">
        <f>INDEX('Master (Filled)'!$Z$8:$Z$37,MATCH(D102,'Master (Filled)'!$Y$8:$Y$37,0))</f>
        <v>110500</v>
      </c>
      <c r="G102" s="119">
        <f t="shared" si="3"/>
        <v>0.02</v>
      </c>
      <c r="H102" s="47">
        <f t="shared" si="4"/>
        <v>550290</v>
      </c>
      <c r="I102" s="50" t="s">
        <v>282</v>
      </c>
      <c r="J102" s="124">
        <f t="shared" si="6"/>
        <v>755</v>
      </c>
      <c r="K102" s="124">
        <f>SUMIF(Table1316[Category],Table14174[[#This Row],[Category]],Table1316[[Quantity ]])</f>
        <v>215</v>
      </c>
      <c r="L102" s="124">
        <f>Table14174[[#This Row],[Inventory]]-Table14174[[#This Row],[Update ]]</f>
        <v>540</v>
      </c>
    </row>
    <row r="103" spans="1:12" x14ac:dyDescent="0.2">
      <c r="A103" s="125">
        <v>44972</v>
      </c>
      <c r="B103" s="9" t="s">
        <v>67</v>
      </c>
      <c r="C103" s="50" t="s">
        <v>282</v>
      </c>
      <c r="D103" s="49" t="s">
        <v>64</v>
      </c>
      <c r="E103" s="9">
        <v>5</v>
      </c>
      <c r="F103" s="47">
        <f>INDEX('Master (Filled)'!$Z$8:$Z$37,MATCH(D103,'Master (Filled)'!$Y$8:$Y$37,0))</f>
        <v>85000</v>
      </c>
      <c r="G103" s="119">
        <f t="shared" si="3"/>
        <v>0.02</v>
      </c>
      <c r="H103" s="47">
        <f t="shared" si="4"/>
        <v>423300</v>
      </c>
      <c r="I103" s="50" t="s">
        <v>282</v>
      </c>
      <c r="J103" s="124">
        <f t="shared" si="6"/>
        <v>755</v>
      </c>
      <c r="K103" s="124">
        <f>SUMIF(Table1316[Category],Table14174[[#This Row],[Category]],Table1316[[Quantity ]])</f>
        <v>215</v>
      </c>
      <c r="L103" s="124">
        <f>Table14174[[#This Row],[Inventory]]-Table14174[[#This Row],[Update ]]</f>
        <v>540</v>
      </c>
    </row>
    <row r="104" spans="1:12" x14ac:dyDescent="0.2">
      <c r="A104" s="125">
        <v>44972</v>
      </c>
      <c r="B104" s="9" t="s">
        <v>59</v>
      </c>
      <c r="C104" s="50" t="s">
        <v>276</v>
      </c>
      <c r="D104" s="49" t="s">
        <v>186</v>
      </c>
      <c r="E104" s="9">
        <v>7</v>
      </c>
      <c r="F104" s="47">
        <f>INDEX('Master (Filled)'!$Z$8:$Z$37,MATCH(D104,'Master (Filled)'!$Y$8:$Y$37,0))</f>
        <v>75000</v>
      </c>
      <c r="G104" s="119">
        <f t="shared" si="3"/>
        <v>0.02</v>
      </c>
      <c r="H104" s="47">
        <f t="shared" si="4"/>
        <v>523500</v>
      </c>
      <c r="I104" s="50" t="s">
        <v>276</v>
      </c>
      <c r="J104" s="124">
        <f t="shared" si="6"/>
        <v>755</v>
      </c>
      <c r="K104" s="124">
        <f>SUMIF(Table1316[Category],Table14174[[#This Row],[Category]],Table1316[[Quantity ]])</f>
        <v>345</v>
      </c>
      <c r="L104" s="124">
        <f>Table14174[[#This Row],[Inventory]]-Table14174[[#This Row],[Update ]]</f>
        <v>410</v>
      </c>
    </row>
    <row r="105" spans="1:12" x14ac:dyDescent="0.2">
      <c r="A105" s="125">
        <v>44973</v>
      </c>
      <c r="B105" s="9" t="s">
        <v>31</v>
      </c>
      <c r="C105" s="50" t="s">
        <v>280</v>
      </c>
      <c r="D105" s="50" t="s">
        <v>115</v>
      </c>
      <c r="E105" s="9">
        <v>8</v>
      </c>
      <c r="F105" s="47">
        <f>INDEX('Master (Filled)'!$Z$8:$Z$37,MATCH(D105,'Master (Filled)'!$Y$8:$Y$37,0))</f>
        <v>89999</v>
      </c>
      <c r="G105" s="119">
        <f t="shared" si="3"/>
        <v>0.02</v>
      </c>
      <c r="H105" s="47">
        <f t="shared" si="4"/>
        <v>718192.02</v>
      </c>
      <c r="I105" s="50" t="s">
        <v>280</v>
      </c>
      <c r="J105" s="124">
        <f t="shared" si="6"/>
        <v>755</v>
      </c>
      <c r="K105" s="124">
        <f>SUMIF(Table1316[Category],Table14174[[#This Row],[Category]],Table1316[[Quantity ]])</f>
        <v>241</v>
      </c>
      <c r="L105" s="124">
        <f>Table14174[[#This Row],[Inventory]]-Table14174[[#This Row],[Update ]]</f>
        <v>514</v>
      </c>
    </row>
    <row r="106" spans="1:12" x14ac:dyDescent="0.2">
      <c r="A106" s="125">
        <v>44973</v>
      </c>
      <c r="B106" s="9" t="s">
        <v>67</v>
      </c>
      <c r="C106" s="50" t="s">
        <v>282</v>
      </c>
      <c r="D106" s="49" t="s">
        <v>72</v>
      </c>
      <c r="E106" s="9">
        <v>8</v>
      </c>
      <c r="F106" s="47">
        <f>INDEX('Master (Filled)'!$Z$8:$Z$37,MATCH(D106,'Master (Filled)'!$Y$8:$Y$37,0))</f>
        <v>110500</v>
      </c>
      <c r="G106" s="119">
        <f t="shared" si="3"/>
        <v>0.02</v>
      </c>
      <c r="H106" s="47">
        <f t="shared" si="4"/>
        <v>881790</v>
      </c>
      <c r="I106" s="50" t="s">
        <v>282</v>
      </c>
      <c r="J106" s="124">
        <f t="shared" si="6"/>
        <v>755</v>
      </c>
      <c r="K106" s="124">
        <f>SUMIF(Table1316[Category],Table14174[[#This Row],[Category]],Table1316[[Quantity ]])</f>
        <v>215</v>
      </c>
      <c r="L106" s="124">
        <f>Table14174[[#This Row],[Inventory]]-Table14174[[#This Row],[Update ]]</f>
        <v>540</v>
      </c>
    </row>
    <row r="107" spans="1:12" x14ac:dyDescent="0.2">
      <c r="A107" s="125">
        <v>44973</v>
      </c>
      <c r="B107" s="9" t="s">
        <v>31</v>
      </c>
      <c r="C107" s="50" t="s">
        <v>280</v>
      </c>
      <c r="D107" s="50" t="s">
        <v>115</v>
      </c>
      <c r="E107" s="9">
        <v>7</v>
      </c>
      <c r="F107" s="47">
        <f>INDEX('Master (Filled)'!$Z$8:$Z$37,MATCH(D107,'Master (Filled)'!$Y$8:$Y$37,0))</f>
        <v>89999</v>
      </c>
      <c r="G107" s="119">
        <f t="shared" si="3"/>
        <v>0.02</v>
      </c>
      <c r="H107" s="47">
        <f t="shared" si="4"/>
        <v>628193.02</v>
      </c>
      <c r="I107" s="50" t="s">
        <v>280</v>
      </c>
      <c r="J107" s="124">
        <f t="shared" si="6"/>
        <v>755</v>
      </c>
      <c r="K107" s="124">
        <f>SUMIF(Table1316[Category],Table14174[[#This Row],[Category]],Table1316[[Quantity ]])</f>
        <v>241</v>
      </c>
      <c r="L107" s="124">
        <f>Table14174[[#This Row],[Inventory]]-Table14174[[#This Row],[Update ]]</f>
        <v>514</v>
      </c>
    </row>
    <row r="108" spans="1:12" x14ac:dyDescent="0.2">
      <c r="A108" s="125">
        <v>44974</v>
      </c>
      <c r="B108" s="9" t="s">
        <v>31</v>
      </c>
      <c r="C108" s="50" t="s">
        <v>280</v>
      </c>
      <c r="D108" s="50" t="s">
        <v>115</v>
      </c>
      <c r="E108" s="9">
        <v>7</v>
      </c>
      <c r="F108" s="47">
        <f>INDEX('Master (Filled)'!$Z$8:$Z$37,MATCH(D108,'Master (Filled)'!$Y$8:$Y$37,0))</f>
        <v>89999</v>
      </c>
      <c r="G108" s="119">
        <f t="shared" si="3"/>
        <v>0.02</v>
      </c>
      <c r="H108" s="47">
        <f t="shared" si="4"/>
        <v>628193.02</v>
      </c>
      <c r="I108" s="50" t="s">
        <v>280</v>
      </c>
      <c r="J108" s="124">
        <f t="shared" si="6"/>
        <v>755</v>
      </c>
      <c r="K108" s="124">
        <f>SUMIF(Table1316[Category],Table14174[[#This Row],[Category]],Table1316[[Quantity ]])</f>
        <v>241</v>
      </c>
      <c r="L108" s="124">
        <f>Table14174[[#This Row],[Inventory]]-Table14174[[#This Row],[Update ]]</f>
        <v>514</v>
      </c>
    </row>
    <row r="109" spans="1:12" x14ac:dyDescent="0.2">
      <c r="A109" s="125">
        <v>44974</v>
      </c>
      <c r="B109" s="9" t="s">
        <v>31</v>
      </c>
      <c r="C109" s="50" t="s">
        <v>280</v>
      </c>
      <c r="D109" s="50" t="s">
        <v>115</v>
      </c>
      <c r="E109" s="9">
        <v>5</v>
      </c>
      <c r="F109" s="47">
        <f>INDEX('Master (Filled)'!$Z$8:$Z$37,MATCH(D109,'Master (Filled)'!$Y$8:$Y$37,0))</f>
        <v>89999</v>
      </c>
      <c r="G109" s="119">
        <f t="shared" si="3"/>
        <v>0.02</v>
      </c>
      <c r="H109" s="47">
        <f t="shared" si="4"/>
        <v>448195.02</v>
      </c>
      <c r="I109" s="50" t="s">
        <v>280</v>
      </c>
      <c r="J109" s="124">
        <f t="shared" si="6"/>
        <v>755</v>
      </c>
      <c r="K109" s="124">
        <f>SUMIF(Table1316[Category],Table14174[[#This Row],[Category]],Table1316[[Quantity ]])</f>
        <v>241</v>
      </c>
      <c r="L109" s="124">
        <f>Table14174[[#This Row],[Inventory]]-Table14174[[#This Row],[Update ]]</f>
        <v>514</v>
      </c>
    </row>
    <row r="110" spans="1:12" x14ac:dyDescent="0.2">
      <c r="A110" s="125">
        <v>44974</v>
      </c>
      <c r="B110" s="9" t="s">
        <v>59</v>
      </c>
      <c r="C110" s="50" t="s">
        <v>276</v>
      </c>
      <c r="D110" s="49" t="s">
        <v>186</v>
      </c>
      <c r="E110" s="9">
        <v>4</v>
      </c>
      <c r="F110" s="47">
        <f>INDEX('Master (Filled)'!$Z$8:$Z$37,MATCH(D110,'Master (Filled)'!$Y$8:$Y$37,0))</f>
        <v>75000</v>
      </c>
      <c r="G110" s="119">
        <f t="shared" si="3"/>
        <v>0.02</v>
      </c>
      <c r="H110" s="47">
        <f t="shared" si="4"/>
        <v>298500</v>
      </c>
      <c r="I110" s="50" t="s">
        <v>276</v>
      </c>
      <c r="J110" s="124">
        <f t="shared" si="6"/>
        <v>755</v>
      </c>
      <c r="K110" s="124">
        <f>SUMIF(Table1316[Category],Table14174[[#This Row],[Category]],Table1316[[Quantity ]])</f>
        <v>345</v>
      </c>
      <c r="L110" s="124">
        <f>Table14174[[#This Row],[Inventory]]-Table14174[[#This Row],[Update ]]</f>
        <v>410</v>
      </c>
    </row>
    <row r="111" spans="1:12" x14ac:dyDescent="0.2">
      <c r="A111" s="125">
        <v>44974</v>
      </c>
      <c r="B111" s="9" t="s">
        <v>59</v>
      </c>
      <c r="C111" s="50" t="s">
        <v>276</v>
      </c>
      <c r="D111" s="49" t="s">
        <v>92</v>
      </c>
      <c r="E111" s="9">
        <v>6</v>
      </c>
      <c r="F111" s="47">
        <f>INDEX('Master (Filled)'!$Z$8:$Z$37,MATCH(D111,'Master (Filled)'!$Y$8:$Y$37,0))</f>
        <v>55000</v>
      </c>
      <c r="G111" s="119">
        <f t="shared" si="3"/>
        <v>0.02</v>
      </c>
      <c r="H111" s="47">
        <f t="shared" si="4"/>
        <v>328900</v>
      </c>
      <c r="I111" s="50" t="s">
        <v>276</v>
      </c>
      <c r="J111" s="124">
        <f t="shared" si="6"/>
        <v>755</v>
      </c>
      <c r="K111" s="124">
        <f>SUMIF(Table1316[Category],Table14174[[#This Row],[Category]],Table1316[[Quantity ]])</f>
        <v>345</v>
      </c>
      <c r="L111" s="124">
        <f>Table14174[[#This Row],[Inventory]]-Table14174[[#This Row],[Update ]]</f>
        <v>410</v>
      </c>
    </row>
    <row r="112" spans="1:12" x14ac:dyDescent="0.2">
      <c r="A112" s="125">
        <v>44974</v>
      </c>
      <c r="B112" s="9" t="s">
        <v>59</v>
      </c>
      <c r="C112" s="50" t="s">
        <v>276</v>
      </c>
      <c r="D112" s="49" t="s">
        <v>92</v>
      </c>
      <c r="E112" s="9">
        <v>8</v>
      </c>
      <c r="F112" s="47">
        <f>INDEX('Master (Filled)'!$Z$8:$Z$37,MATCH(D112,'Master (Filled)'!$Y$8:$Y$37,0))</f>
        <v>55000</v>
      </c>
      <c r="G112" s="119">
        <f t="shared" si="3"/>
        <v>0.02</v>
      </c>
      <c r="H112" s="47">
        <f t="shared" si="4"/>
        <v>438900</v>
      </c>
      <c r="I112" s="50" t="s">
        <v>276</v>
      </c>
      <c r="J112" s="124">
        <f t="shared" si="6"/>
        <v>755</v>
      </c>
      <c r="K112" s="124">
        <f>SUMIF(Table1316[Category],Table14174[[#This Row],[Category]],Table1316[[Quantity ]])</f>
        <v>345</v>
      </c>
      <c r="L112" s="124">
        <f>Table14174[[#This Row],[Inventory]]-Table14174[[#This Row],[Update ]]</f>
        <v>410</v>
      </c>
    </row>
    <row r="113" spans="1:12" x14ac:dyDescent="0.2">
      <c r="A113" s="125">
        <v>44974</v>
      </c>
      <c r="B113" s="9" t="s">
        <v>36</v>
      </c>
      <c r="C113" s="50" t="s">
        <v>278</v>
      </c>
      <c r="D113" s="50" t="s">
        <v>137</v>
      </c>
      <c r="E113" s="9">
        <v>8</v>
      </c>
      <c r="F113" s="47">
        <f>INDEX('Master (Filled)'!$Z$8:$Z$37,MATCH(D113,'Master (Filled)'!$Y$8:$Y$37,0))</f>
        <v>115000</v>
      </c>
      <c r="G113" s="119">
        <f t="shared" si="3"/>
        <v>0.02</v>
      </c>
      <c r="H113" s="47">
        <f t="shared" si="4"/>
        <v>917700</v>
      </c>
      <c r="I113" s="50" t="s">
        <v>278</v>
      </c>
      <c r="J113" s="124">
        <f t="shared" si="6"/>
        <v>755</v>
      </c>
      <c r="K113" s="124">
        <f>SUMIF(Table1316[Category],Table14174[[#This Row],[Category]],Table1316[[Quantity ]])</f>
        <v>299</v>
      </c>
      <c r="L113" s="124">
        <f>Table14174[[#This Row],[Inventory]]-Table14174[[#This Row],[Update ]]</f>
        <v>456</v>
      </c>
    </row>
    <row r="114" spans="1:12" x14ac:dyDescent="0.2">
      <c r="A114" s="125">
        <v>44975</v>
      </c>
      <c r="B114" s="9" t="s">
        <v>40</v>
      </c>
      <c r="C114" s="50" t="s">
        <v>278</v>
      </c>
      <c r="D114" s="50" t="s">
        <v>137</v>
      </c>
      <c r="E114" s="9">
        <v>9</v>
      </c>
      <c r="F114" s="47">
        <f>INDEX('Master (Filled)'!$Z$8:$Z$37,MATCH(D114,'Master (Filled)'!$Y$8:$Y$37,0))</f>
        <v>115000</v>
      </c>
      <c r="G114" s="119">
        <f t="shared" si="3"/>
        <v>0.03</v>
      </c>
      <c r="H114" s="47">
        <f t="shared" si="4"/>
        <v>1031550</v>
      </c>
      <c r="I114" s="50" t="s">
        <v>278</v>
      </c>
      <c r="J114" s="124">
        <f t="shared" si="6"/>
        <v>755</v>
      </c>
      <c r="K114" s="124">
        <f>SUMIF(Table1316[Category],Table14174[[#This Row],[Category]],Table1316[[Quantity ]])</f>
        <v>299</v>
      </c>
      <c r="L114" s="124">
        <f>Table14174[[#This Row],[Inventory]]-Table14174[[#This Row],[Update ]]</f>
        <v>456</v>
      </c>
    </row>
    <row r="115" spans="1:12" x14ac:dyDescent="0.2">
      <c r="A115" s="125">
        <v>44975</v>
      </c>
      <c r="B115" s="9" t="s">
        <v>67</v>
      </c>
      <c r="C115" s="50" t="s">
        <v>282</v>
      </c>
      <c r="D115" s="49" t="s">
        <v>72</v>
      </c>
      <c r="E115" s="9">
        <v>11</v>
      </c>
      <c r="F115" s="47">
        <f>INDEX('Master (Filled)'!$Z$8:$Z$37,MATCH(D115,'Master (Filled)'!$Y$8:$Y$37,0))</f>
        <v>110500</v>
      </c>
      <c r="G115" s="119">
        <f t="shared" si="3"/>
        <v>0.03</v>
      </c>
      <c r="H115" s="47">
        <f t="shared" si="4"/>
        <v>1212185</v>
      </c>
      <c r="I115" s="50" t="s">
        <v>282</v>
      </c>
      <c r="J115" s="124">
        <f t="shared" si="6"/>
        <v>755</v>
      </c>
      <c r="K115" s="124">
        <f>SUMIF(Table1316[Category],Table14174[[#This Row],[Category]],Table1316[[Quantity ]])</f>
        <v>215</v>
      </c>
      <c r="L115" s="124">
        <f>Table14174[[#This Row],[Inventory]]-Table14174[[#This Row],[Update ]]</f>
        <v>540</v>
      </c>
    </row>
    <row r="116" spans="1:12" x14ac:dyDescent="0.2">
      <c r="A116" s="125">
        <v>44975</v>
      </c>
      <c r="B116" s="9" t="s">
        <v>36</v>
      </c>
      <c r="C116" s="50" t="s">
        <v>278</v>
      </c>
      <c r="D116" s="50" t="s">
        <v>106</v>
      </c>
      <c r="E116" s="9">
        <v>10</v>
      </c>
      <c r="F116" s="47">
        <f>INDEX('Master (Filled)'!$Z$8:$Z$37,MATCH(D116,'Master (Filled)'!$Y$8:$Y$37,0))</f>
        <v>45500</v>
      </c>
      <c r="G116" s="119">
        <f t="shared" si="3"/>
        <v>0.03</v>
      </c>
      <c r="H116" s="47">
        <f t="shared" si="4"/>
        <v>453635</v>
      </c>
      <c r="I116" s="50" t="s">
        <v>278</v>
      </c>
      <c r="J116" s="124">
        <f t="shared" si="6"/>
        <v>755</v>
      </c>
      <c r="K116" s="124">
        <f>SUMIF(Table1316[Category],Table14174[[#This Row],[Category]],Table1316[[Quantity ]])</f>
        <v>299</v>
      </c>
      <c r="L116" s="124">
        <f>Table14174[[#This Row],[Inventory]]-Table14174[[#This Row],[Update ]]</f>
        <v>456</v>
      </c>
    </row>
    <row r="117" spans="1:12" x14ac:dyDescent="0.2">
      <c r="A117" s="125">
        <v>44976</v>
      </c>
      <c r="B117" s="9" t="s">
        <v>52</v>
      </c>
      <c r="C117" s="50" t="s">
        <v>276</v>
      </c>
      <c r="D117" s="49" t="s">
        <v>189</v>
      </c>
      <c r="E117" s="9">
        <v>9</v>
      </c>
      <c r="F117" s="47">
        <f>INDEX('Master (Filled)'!$Z$8:$Z$37,MATCH(D117,'Master (Filled)'!$Y$8:$Y$37,0))</f>
        <v>120000</v>
      </c>
      <c r="G117" s="119">
        <f t="shared" si="3"/>
        <v>0.03</v>
      </c>
      <c r="H117" s="47">
        <f t="shared" si="4"/>
        <v>1076400</v>
      </c>
      <c r="I117" s="50" t="s">
        <v>276</v>
      </c>
      <c r="J117" s="124">
        <f t="shared" si="6"/>
        <v>755</v>
      </c>
      <c r="K117" s="124">
        <f>SUMIF(Table1316[Category],Table14174[[#This Row],[Category]],Table1316[[Quantity ]])</f>
        <v>345</v>
      </c>
      <c r="L117" s="124">
        <f>Table14174[[#This Row],[Inventory]]-Table14174[[#This Row],[Update ]]</f>
        <v>410</v>
      </c>
    </row>
    <row r="118" spans="1:12" x14ac:dyDescent="0.2">
      <c r="A118" s="125">
        <v>44976</v>
      </c>
      <c r="B118" s="9" t="s">
        <v>56</v>
      </c>
      <c r="C118" s="50" t="s">
        <v>276</v>
      </c>
      <c r="D118" s="49" t="s">
        <v>186</v>
      </c>
      <c r="E118" s="9">
        <v>5</v>
      </c>
      <c r="F118" s="47">
        <f>INDEX('Master (Filled)'!$Z$8:$Z$37,MATCH(D118,'Master (Filled)'!$Y$8:$Y$37,0))</f>
        <v>75000</v>
      </c>
      <c r="G118" s="119">
        <f t="shared" si="3"/>
        <v>0.02</v>
      </c>
      <c r="H118" s="47">
        <f t="shared" si="4"/>
        <v>373500</v>
      </c>
      <c r="I118" s="50" t="s">
        <v>276</v>
      </c>
      <c r="J118" s="124">
        <f t="shared" si="6"/>
        <v>755</v>
      </c>
      <c r="K118" s="124">
        <f>SUMIF(Table1316[Category],Table14174[[#This Row],[Category]],Table1316[[Quantity ]])</f>
        <v>345</v>
      </c>
      <c r="L118" s="124">
        <f>Table14174[[#This Row],[Inventory]]-Table14174[[#This Row],[Update ]]</f>
        <v>410</v>
      </c>
    </row>
    <row r="119" spans="1:12" x14ac:dyDescent="0.2">
      <c r="A119" s="125">
        <v>44976</v>
      </c>
      <c r="B119" s="9" t="s">
        <v>59</v>
      </c>
      <c r="C119" s="50" t="s">
        <v>276</v>
      </c>
      <c r="D119" s="49" t="s">
        <v>92</v>
      </c>
      <c r="E119" s="9">
        <v>5</v>
      </c>
      <c r="F119" s="47">
        <f>INDEX('Master (Filled)'!$Z$8:$Z$37,MATCH(D119,'Master (Filled)'!$Y$8:$Y$37,0))</f>
        <v>55000</v>
      </c>
      <c r="G119" s="119">
        <f t="shared" si="3"/>
        <v>0.02</v>
      </c>
      <c r="H119" s="47">
        <f t="shared" si="4"/>
        <v>273900</v>
      </c>
      <c r="I119" s="50" t="s">
        <v>276</v>
      </c>
      <c r="J119" s="124">
        <f t="shared" si="6"/>
        <v>755</v>
      </c>
      <c r="K119" s="124">
        <f>SUMIF(Table1316[Category],Table14174[[#This Row],[Category]],Table1316[[Quantity ]])</f>
        <v>345</v>
      </c>
      <c r="L119" s="124">
        <f>Table14174[[#This Row],[Inventory]]-Table14174[[#This Row],[Update ]]</f>
        <v>410</v>
      </c>
    </row>
    <row r="120" spans="1:12" x14ac:dyDescent="0.2">
      <c r="A120" s="125">
        <v>44976</v>
      </c>
      <c r="B120" s="9" t="s">
        <v>61</v>
      </c>
      <c r="C120" s="50" t="s">
        <v>282</v>
      </c>
      <c r="D120" s="49" t="s">
        <v>72</v>
      </c>
      <c r="E120" s="9">
        <v>3</v>
      </c>
      <c r="F120" s="47">
        <f>INDEX('Master (Filled)'!$Z$8:$Z$37,MATCH(D120,'Master (Filled)'!$Y$8:$Y$37,0))</f>
        <v>110500</v>
      </c>
      <c r="G120" s="119">
        <f t="shared" si="3"/>
        <v>0.02</v>
      </c>
      <c r="H120" s="47">
        <f t="shared" si="4"/>
        <v>329290</v>
      </c>
      <c r="I120" s="50" t="s">
        <v>282</v>
      </c>
      <c r="J120" s="124">
        <f t="shared" si="6"/>
        <v>755</v>
      </c>
      <c r="K120" s="124">
        <f>SUMIF(Table1316[Category],Table14174[[#This Row],[Category]],Table1316[[Quantity ]])</f>
        <v>215</v>
      </c>
      <c r="L120" s="124">
        <f>Table14174[[#This Row],[Inventory]]-Table14174[[#This Row],[Update ]]</f>
        <v>540</v>
      </c>
    </row>
    <row r="121" spans="1:12" x14ac:dyDescent="0.2">
      <c r="A121" s="125">
        <v>44976</v>
      </c>
      <c r="B121" s="9" t="s">
        <v>110</v>
      </c>
      <c r="C121" s="50" t="s">
        <v>280</v>
      </c>
      <c r="D121" s="50" t="s">
        <v>25</v>
      </c>
      <c r="E121" s="9">
        <v>2</v>
      </c>
      <c r="F121" s="47">
        <f>INDEX('Master (Filled)'!$Z$8:$Z$37,MATCH(D121,'Master (Filled)'!$Y$8:$Y$37,0))</f>
        <v>69999</v>
      </c>
      <c r="G121" s="119">
        <f t="shared" si="3"/>
        <v>0.02</v>
      </c>
      <c r="H121" s="47">
        <f t="shared" si="4"/>
        <v>138598.01999999999</v>
      </c>
      <c r="I121" s="50" t="s">
        <v>280</v>
      </c>
      <c r="J121" s="124">
        <f t="shared" si="6"/>
        <v>755</v>
      </c>
      <c r="K121" s="124">
        <f>SUMIF(Table1316[Category],Table14174[[#This Row],[Category]],Table1316[[Quantity ]])</f>
        <v>241</v>
      </c>
      <c r="L121" s="124">
        <f>Table14174[[#This Row],[Inventory]]-Table14174[[#This Row],[Update ]]</f>
        <v>514</v>
      </c>
    </row>
    <row r="122" spans="1:12" x14ac:dyDescent="0.2">
      <c r="A122" s="125">
        <v>44977</v>
      </c>
      <c r="B122" s="9" t="s">
        <v>19</v>
      </c>
      <c r="C122" s="50" t="s">
        <v>280</v>
      </c>
      <c r="D122" s="50" t="s">
        <v>32</v>
      </c>
      <c r="E122" s="9">
        <v>2</v>
      </c>
      <c r="F122" s="47">
        <f>INDEX('Master (Filled)'!$Z$8:$Z$37,MATCH(D122,'Master (Filled)'!$Y$8:$Y$37,0))</f>
        <v>25500</v>
      </c>
      <c r="G122" s="119">
        <f t="shared" si="3"/>
        <v>0.02</v>
      </c>
      <c r="H122" s="47">
        <f t="shared" si="4"/>
        <v>50490</v>
      </c>
      <c r="I122" s="50" t="s">
        <v>280</v>
      </c>
      <c r="J122" s="124">
        <f t="shared" si="6"/>
        <v>755</v>
      </c>
      <c r="K122" s="124">
        <f>SUMIF(Table1316[Category],Table14174[[#This Row],[Category]],Table1316[[Quantity ]])</f>
        <v>241</v>
      </c>
      <c r="L122" s="124">
        <f>Table14174[[#This Row],[Inventory]]-Table14174[[#This Row],[Update ]]</f>
        <v>514</v>
      </c>
    </row>
    <row r="123" spans="1:12" x14ac:dyDescent="0.2">
      <c r="A123" s="125">
        <v>44977</v>
      </c>
      <c r="B123" s="9" t="s">
        <v>24</v>
      </c>
      <c r="C123" s="50" t="s">
        <v>280</v>
      </c>
      <c r="D123" s="50" t="s">
        <v>32</v>
      </c>
      <c r="E123" s="9">
        <v>2</v>
      </c>
      <c r="F123" s="47">
        <f>INDEX('Master (Filled)'!$Z$8:$Z$37,MATCH(D123,'Master (Filled)'!$Y$8:$Y$37,0))</f>
        <v>25500</v>
      </c>
      <c r="G123" s="119">
        <f t="shared" si="3"/>
        <v>0.02</v>
      </c>
      <c r="H123" s="47">
        <f t="shared" si="4"/>
        <v>50490</v>
      </c>
      <c r="I123" s="50" t="s">
        <v>280</v>
      </c>
      <c r="J123" s="124">
        <f t="shared" si="6"/>
        <v>755</v>
      </c>
      <c r="K123" s="124">
        <f>SUMIF(Table1316[Category],Table14174[[#This Row],[Category]],Table1316[[Quantity ]])</f>
        <v>241</v>
      </c>
      <c r="L123" s="124">
        <f>Table14174[[#This Row],[Inventory]]-Table14174[[#This Row],[Update ]]</f>
        <v>514</v>
      </c>
    </row>
    <row r="124" spans="1:12" x14ac:dyDescent="0.2">
      <c r="A124" s="125">
        <v>44977</v>
      </c>
      <c r="B124" s="9" t="s">
        <v>24</v>
      </c>
      <c r="C124" s="50" t="s">
        <v>280</v>
      </c>
      <c r="D124" s="50" t="s">
        <v>32</v>
      </c>
      <c r="E124" s="9">
        <v>4</v>
      </c>
      <c r="F124" s="47">
        <f>INDEX('Master (Filled)'!$Z$8:$Z$37,MATCH(D124,'Master (Filled)'!$Y$8:$Y$37,0))</f>
        <v>25500</v>
      </c>
      <c r="G124" s="119">
        <f t="shared" si="3"/>
        <v>0.02</v>
      </c>
      <c r="H124" s="47">
        <f t="shared" si="4"/>
        <v>101490</v>
      </c>
      <c r="I124" s="50" t="s">
        <v>280</v>
      </c>
      <c r="J124" s="124">
        <f t="shared" si="6"/>
        <v>755</v>
      </c>
      <c r="K124" s="124">
        <f>SUMIF(Table1316[Category],Table14174[[#This Row],[Category]],Table1316[[Quantity ]])</f>
        <v>241</v>
      </c>
      <c r="L124" s="124">
        <f>Table14174[[#This Row],[Inventory]]-Table14174[[#This Row],[Update ]]</f>
        <v>514</v>
      </c>
    </row>
    <row r="125" spans="1:12" x14ac:dyDescent="0.2">
      <c r="A125" s="125">
        <v>44977</v>
      </c>
      <c r="B125" s="9" t="s">
        <v>24</v>
      </c>
      <c r="C125" s="50" t="s">
        <v>280</v>
      </c>
      <c r="D125" s="50" t="s">
        <v>25</v>
      </c>
      <c r="E125" s="9">
        <v>5</v>
      </c>
      <c r="F125" s="47">
        <f>INDEX('Master (Filled)'!$Z$8:$Z$37,MATCH(D125,'Master (Filled)'!$Y$8:$Y$37,0))</f>
        <v>69999</v>
      </c>
      <c r="G125" s="119">
        <f t="shared" si="3"/>
        <v>0.02</v>
      </c>
      <c r="H125" s="47">
        <f t="shared" si="4"/>
        <v>348595.02</v>
      </c>
      <c r="I125" s="50" t="s">
        <v>280</v>
      </c>
      <c r="J125" s="124">
        <f t="shared" si="6"/>
        <v>755</v>
      </c>
      <c r="K125" s="124">
        <f>SUMIF(Table1316[Category],Table14174[[#This Row],[Category]],Table1316[[Quantity ]])</f>
        <v>241</v>
      </c>
      <c r="L125" s="124">
        <f>Table14174[[#This Row],[Inventory]]-Table14174[[#This Row],[Update ]]</f>
        <v>514</v>
      </c>
    </row>
    <row r="126" spans="1:12" x14ac:dyDescent="0.2">
      <c r="A126" s="125">
        <v>44978</v>
      </c>
      <c r="B126" s="9" t="s">
        <v>110</v>
      </c>
      <c r="C126" s="50" t="s">
        <v>280</v>
      </c>
      <c r="D126" s="50" t="s">
        <v>25</v>
      </c>
      <c r="E126" s="9">
        <v>5</v>
      </c>
      <c r="F126" s="47">
        <f>INDEX('Master (Filled)'!$Z$8:$Z$37,MATCH(D126,'Master (Filled)'!$Y$8:$Y$37,0))</f>
        <v>69999</v>
      </c>
      <c r="G126" s="119">
        <f t="shared" si="3"/>
        <v>0.02</v>
      </c>
      <c r="H126" s="47">
        <f t="shared" si="4"/>
        <v>348595.02</v>
      </c>
      <c r="I126" s="50" t="s">
        <v>280</v>
      </c>
      <c r="J126" s="124">
        <f t="shared" si="6"/>
        <v>755</v>
      </c>
      <c r="K126" s="124">
        <f>SUMIF(Table1316[Category],Table14174[[#This Row],[Category]],Table1316[[Quantity ]])</f>
        <v>241</v>
      </c>
      <c r="L126" s="124">
        <f>Table14174[[#This Row],[Inventory]]-Table14174[[#This Row],[Update ]]</f>
        <v>514</v>
      </c>
    </row>
    <row r="127" spans="1:12" x14ac:dyDescent="0.2">
      <c r="A127" s="125">
        <v>44978</v>
      </c>
      <c r="B127" s="9" t="s">
        <v>110</v>
      </c>
      <c r="C127" s="50" t="s">
        <v>280</v>
      </c>
      <c r="D127" s="50" t="s">
        <v>20</v>
      </c>
      <c r="E127" s="9">
        <v>7</v>
      </c>
      <c r="F127" s="47">
        <f>INDEX('Master (Filled)'!$Z$8:$Z$37,MATCH(D127,'Master (Filled)'!$Y$8:$Y$37,0))</f>
        <v>49999</v>
      </c>
      <c r="G127" s="119">
        <f t="shared" si="3"/>
        <v>0.02</v>
      </c>
      <c r="H127" s="47">
        <f t="shared" si="4"/>
        <v>348993.02</v>
      </c>
      <c r="I127" s="50" t="s">
        <v>280</v>
      </c>
      <c r="J127" s="124">
        <f t="shared" si="6"/>
        <v>755</v>
      </c>
      <c r="K127" s="124">
        <f>SUMIF(Table1316[Category],Table14174[[#This Row],[Category]],Table1316[[Quantity ]])</f>
        <v>241</v>
      </c>
      <c r="L127" s="124">
        <f>Table14174[[#This Row],[Inventory]]-Table14174[[#This Row],[Update ]]</f>
        <v>514</v>
      </c>
    </row>
    <row r="128" spans="1:12" x14ac:dyDescent="0.2">
      <c r="A128" s="125">
        <v>44978</v>
      </c>
      <c r="B128" s="9" t="s">
        <v>19</v>
      </c>
      <c r="C128" s="50" t="s">
        <v>280</v>
      </c>
      <c r="D128" s="50" t="s">
        <v>20</v>
      </c>
      <c r="E128" s="9">
        <v>7</v>
      </c>
      <c r="F128" s="47">
        <f>INDEX('Master (Filled)'!$Z$8:$Z$37,MATCH(D128,'Master (Filled)'!$Y$8:$Y$37,0))</f>
        <v>49999</v>
      </c>
      <c r="G128" s="119">
        <f t="shared" si="3"/>
        <v>0.02</v>
      </c>
      <c r="H128" s="47">
        <f t="shared" si="4"/>
        <v>348993.02</v>
      </c>
      <c r="I128" s="50" t="s">
        <v>280</v>
      </c>
      <c r="J128" s="124">
        <f t="shared" si="6"/>
        <v>755</v>
      </c>
      <c r="K128" s="124">
        <f>SUMIF(Table1316[Category],Table14174[[#This Row],[Category]],Table1316[[Quantity ]])</f>
        <v>241</v>
      </c>
      <c r="L128" s="124">
        <f>Table14174[[#This Row],[Inventory]]-Table14174[[#This Row],[Update ]]</f>
        <v>514</v>
      </c>
    </row>
    <row r="129" spans="1:12" x14ac:dyDescent="0.2">
      <c r="A129" s="125">
        <v>44978</v>
      </c>
      <c r="B129" s="9" t="s">
        <v>19</v>
      </c>
      <c r="C129" s="50" t="s">
        <v>280</v>
      </c>
      <c r="D129" s="50" t="s">
        <v>20</v>
      </c>
      <c r="E129" s="9">
        <v>7</v>
      </c>
      <c r="F129" s="47">
        <f>INDEX('Master (Filled)'!$Z$8:$Z$37,MATCH(D129,'Master (Filled)'!$Y$8:$Y$37,0))</f>
        <v>49999</v>
      </c>
      <c r="G129" s="119">
        <f t="shared" si="3"/>
        <v>0.02</v>
      </c>
      <c r="H129" s="47">
        <f t="shared" si="4"/>
        <v>348993.02</v>
      </c>
      <c r="I129" s="50" t="s">
        <v>280</v>
      </c>
      <c r="J129" s="124">
        <f t="shared" si="6"/>
        <v>755</v>
      </c>
      <c r="K129" s="124">
        <f>SUMIF(Table1316[Category],Table14174[[#This Row],[Category]],Table1316[[Quantity ]])</f>
        <v>241</v>
      </c>
      <c r="L129" s="124">
        <f>Table14174[[#This Row],[Inventory]]-Table14174[[#This Row],[Update ]]</f>
        <v>514</v>
      </c>
    </row>
    <row r="130" spans="1:12" x14ac:dyDescent="0.2">
      <c r="A130" s="125">
        <v>44978</v>
      </c>
      <c r="B130" s="9" t="s">
        <v>80</v>
      </c>
      <c r="C130" s="50" t="s">
        <v>282</v>
      </c>
      <c r="D130" s="49" t="s">
        <v>72</v>
      </c>
      <c r="E130" s="9">
        <v>8</v>
      </c>
      <c r="F130" s="47">
        <f>INDEX('Master (Filled)'!$Z$8:$Z$37,MATCH(D130,'Master (Filled)'!$Y$8:$Y$37,0))</f>
        <v>110500</v>
      </c>
      <c r="G130" s="119">
        <f t="shared" ref="G130:G181" si="7">IF(E130&gt;8,3%,2%)</f>
        <v>0.02</v>
      </c>
      <c r="H130" s="47">
        <f t="shared" ref="H130:H181" si="8">(E130*F130)-(F130*G130)</f>
        <v>881790</v>
      </c>
      <c r="I130" s="50" t="s">
        <v>282</v>
      </c>
      <c r="J130" s="124">
        <f t="shared" si="6"/>
        <v>755</v>
      </c>
      <c r="K130" s="124">
        <f>SUMIF(Table1316[Category],Table14174[[#This Row],[Category]],Table1316[[Quantity ]])</f>
        <v>215</v>
      </c>
      <c r="L130" s="124">
        <f>Table14174[[#This Row],[Inventory]]-Table14174[[#This Row],[Update ]]</f>
        <v>540</v>
      </c>
    </row>
    <row r="131" spans="1:12" x14ac:dyDescent="0.2">
      <c r="A131" s="125">
        <v>44979</v>
      </c>
      <c r="B131" s="9" t="s">
        <v>61</v>
      </c>
      <c r="C131" s="50" t="s">
        <v>282</v>
      </c>
      <c r="D131" s="49" t="s">
        <v>64</v>
      </c>
      <c r="E131" s="9">
        <v>8</v>
      </c>
      <c r="F131" s="47">
        <f>INDEX('Master (Filled)'!$Z$8:$Z$37,MATCH(D131,'Master (Filled)'!$Y$8:$Y$37,0))</f>
        <v>85000</v>
      </c>
      <c r="G131" s="119">
        <f t="shared" si="7"/>
        <v>0.02</v>
      </c>
      <c r="H131" s="47">
        <f t="shared" si="8"/>
        <v>678300</v>
      </c>
      <c r="I131" s="50" t="s">
        <v>282</v>
      </c>
      <c r="J131" s="124">
        <f t="shared" si="6"/>
        <v>755</v>
      </c>
      <c r="K131" s="124">
        <f>SUMIF(Table1316[Category],Table14174[[#This Row],[Category]],Table1316[[Quantity ]])</f>
        <v>215</v>
      </c>
      <c r="L131" s="124">
        <f>Table14174[[#This Row],[Inventory]]-Table14174[[#This Row],[Update ]]</f>
        <v>540</v>
      </c>
    </row>
    <row r="132" spans="1:12" x14ac:dyDescent="0.2">
      <c r="A132" s="125">
        <v>44979</v>
      </c>
      <c r="B132" s="9" t="s">
        <v>59</v>
      </c>
      <c r="C132" s="50" t="s">
        <v>276</v>
      </c>
      <c r="D132" s="49" t="s">
        <v>186</v>
      </c>
      <c r="E132" s="9">
        <v>9</v>
      </c>
      <c r="F132" s="47">
        <f>INDEX('Master (Filled)'!$Z$8:$Z$37,MATCH(D132,'Master (Filled)'!$Y$8:$Y$37,0))</f>
        <v>75000</v>
      </c>
      <c r="G132" s="119">
        <f t="shared" si="7"/>
        <v>0.03</v>
      </c>
      <c r="H132" s="47">
        <f t="shared" si="8"/>
        <v>672750</v>
      </c>
      <c r="I132" s="50" t="s">
        <v>276</v>
      </c>
      <c r="J132" s="124">
        <f t="shared" si="6"/>
        <v>755</v>
      </c>
      <c r="K132" s="124">
        <f>SUMIF(Table1316[Category],Table14174[[#This Row],[Category]],Table1316[[Quantity ]])</f>
        <v>345</v>
      </c>
      <c r="L132" s="124">
        <f>Table14174[[#This Row],[Inventory]]-Table14174[[#This Row],[Update ]]</f>
        <v>410</v>
      </c>
    </row>
    <row r="133" spans="1:12" x14ac:dyDescent="0.2">
      <c r="A133" s="125">
        <v>44979</v>
      </c>
      <c r="B133" s="9" t="s">
        <v>88</v>
      </c>
      <c r="C133" s="50" t="s">
        <v>276</v>
      </c>
      <c r="D133" s="49" t="s">
        <v>189</v>
      </c>
      <c r="E133" s="9">
        <v>12</v>
      </c>
      <c r="F133" s="47">
        <f>INDEX('Master (Filled)'!$Z$8:$Z$37,MATCH(D133,'Master (Filled)'!$Y$8:$Y$37,0))</f>
        <v>120000</v>
      </c>
      <c r="G133" s="119">
        <f t="shared" si="7"/>
        <v>0.03</v>
      </c>
      <c r="H133" s="47">
        <f t="shared" si="8"/>
        <v>1436400</v>
      </c>
      <c r="I133" s="50" t="s">
        <v>276</v>
      </c>
      <c r="J133" s="124">
        <f t="shared" si="6"/>
        <v>755</v>
      </c>
      <c r="K133" s="124">
        <f>SUMIF(Table1316[Category],Table14174[[#This Row],[Category]],Table1316[[Quantity ]])</f>
        <v>345</v>
      </c>
      <c r="L133" s="124">
        <f>Table14174[[#This Row],[Inventory]]-Table14174[[#This Row],[Update ]]</f>
        <v>410</v>
      </c>
    </row>
    <row r="134" spans="1:12" x14ac:dyDescent="0.2">
      <c r="A134" s="125">
        <v>44979</v>
      </c>
      <c r="B134" s="9" t="s">
        <v>56</v>
      </c>
      <c r="C134" s="50" t="s">
        <v>276</v>
      </c>
      <c r="D134" s="49" t="s">
        <v>92</v>
      </c>
      <c r="E134" s="9">
        <v>11</v>
      </c>
      <c r="F134" s="47">
        <f>INDEX('Master (Filled)'!$Z$8:$Z$37,MATCH(D134,'Master (Filled)'!$Y$8:$Y$37,0))</f>
        <v>55000</v>
      </c>
      <c r="G134" s="119">
        <f t="shared" si="7"/>
        <v>0.03</v>
      </c>
      <c r="H134" s="47">
        <f t="shared" si="8"/>
        <v>603350</v>
      </c>
      <c r="I134" s="50" t="s">
        <v>276</v>
      </c>
      <c r="J134" s="124">
        <f t="shared" si="6"/>
        <v>755</v>
      </c>
      <c r="K134" s="124">
        <f>SUMIF(Table1316[Category],Table14174[[#This Row],[Category]],Table1316[[Quantity ]])</f>
        <v>345</v>
      </c>
      <c r="L134" s="124">
        <f>Table14174[[#This Row],[Inventory]]-Table14174[[#This Row],[Update ]]</f>
        <v>410</v>
      </c>
    </row>
    <row r="135" spans="1:12" x14ac:dyDescent="0.2">
      <c r="A135" s="125">
        <v>44980</v>
      </c>
      <c r="B135" s="9" t="s">
        <v>56</v>
      </c>
      <c r="C135" s="50" t="s">
        <v>276</v>
      </c>
      <c r="D135" s="49" t="s">
        <v>92</v>
      </c>
      <c r="E135" s="9">
        <v>11</v>
      </c>
      <c r="F135" s="47">
        <f>INDEX('Master (Filled)'!$Z$8:$Z$37,MATCH(D135,'Master (Filled)'!$Y$8:$Y$37,0))</f>
        <v>55000</v>
      </c>
      <c r="G135" s="119">
        <f t="shared" si="7"/>
        <v>0.03</v>
      </c>
      <c r="H135" s="47">
        <f t="shared" si="8"/>
        <v>603350</v>
      </c>
      <c r="I135" s="50" t="s">
        <v>276</v>
      </c>
      <c r="J135" s="124">
        <f t="shared" si="6"/>
        <v>755</v>
      </c>
      <c r="K135" s="124">
        <f>SUMIF(Table1316[Category],Table14174[[#This Row],[Category]],Table1316[[Quantity ]])</f>
        <v>345</v>
      </c>
      <c r="L135" s="124">
        <f>Table14174[[#This Row],[Inventory]]-Table14174[[#This Row],[Update ]]</f>
        <v>410</v>
      </c>
    </row>
    <row r="136" spans="1:12" x14ac:dyDescent="0.2">
      <c r="A136" s="125">
        <v>44980</v>
      </c>
      <c r="B136" s="9" t="s">
        <v>56</v>
      </c>
      <c r="C136" s="50" t="s">
        <v>276</v>
      </c>
      <c r="D136" s="49" t="s">
        <v>92</v>
      </c>
      <c r="E136" s="9">
        <v>15</v>
      </c>
      <c r="F136" s="47">
        <f>INDEX('Master (Filled)'!$Z$8:$Z$37,MATCH(D136,'Master (Filled)'!$Y$8:$Y$37,0))</f>
        <v>55000</v>
      </c>
      <c r="G136" s="119">
        <f t="shared" si="7"/>
        <v>0.03</v>
      </c>
      <c r="H136" s="47">
        <f t="shared" si="8"/>
        <v>823350</v>
      </c>
      <c r="I136" s="50" t="s">
        <v>276</v>
      </c>
      <c r="J136" s="124">
        <f t="shared" si="6"/>
        <v>755</v>
      </c>
      <c r="K136" s="124">
        <f>SUMIF(Table1316[Category],Table14174[[#This Row],[Category]],Table1316[[Quantity ]])</f>
        <v>345</v>
      </c>
      <c r="L136" s="124">
        <f>Table14174[[#This Row],[Inventory]]-Table14174[[#This Row],[Update ]]</f>
        <v>410</v>
      </c>
    </row>
    <row r="137" spans="1:12" x14ac:dyDescent="0.2">
      <c r="A137" s="125">
        <v>44980</v>
      </c>
      <c r="B137" s="9" t="s">
        <v>52</v>
      </c>
      <c r="C137" s="50" t="s">
        <v>276</v>
      </c>
      <c r="D137" s="49" t="s">
        <v>189</v>
      </c>
      <c r="E137" s="9">
        <v>13</v>
      </c>
      <c r="F137" s="47">
        <f>INDEX('Master (Filled)'!$Z$8:$Z$37,MATCH(D137,'Master (Filled)'!$Y$8:$Y$37,0))</f>
        <v>120000</v>
      </c>
      <c r="G137" s="119">
        <f t="shared" si="7"/>
        <v>0.03</v>
      </c>
      <c r="H137" s="47">
        <f t="shared" si="8"/>
        <v>1556400</v>
      </c>
      <c r="I137" s="50" t="s">
        <v>276</v>
      </c>
      <c r="J137" s="124">
        <f t="shared" si="6"/>
        <v>755</v>
      </c>
      <c r="K137" s="124">
        <f>SUMIF(Table1316[Category],Table14174[[#This Row],[Category]],Table1316[[Quantity ]])</f>
        <v>345</v>
      </c>
      <c r="L137" s="124">
        <f>Table14174[[#This Row],[Inventory]]-Table14174[[#This Row],[Update ]]</f>
        <v>410</v>
      </c>
    </row>
    <row r="138" spans="1:12" x14ac:dyDescent="0.2">
      <c r="A138" s="125">
        <v>44980</v>
      </c>
      <c r="B138" s="9" t="s">
        <v>52</v>
      </c>
      <c r="C138" s="50" t="s">
        <v>276</v>
      </c>
      <c r="D138" s="49" t="s">
        <v>189</v>
      </c>
      <c r="E138" s="9">
        <v>2</v>
      </c>
      <c r="F138" s="47">
        <f>INDEX('Master (Filled)'!$Z$8:$Z$37,MATCH(D138,'Master (Filled)'!$Y$8:$Y$37,0))</f>
        <v>120000</v>
      </c>
      <c r="G138" s="119">
        <f t="shared" si="7"/>
        <v>0.02</v>
      </c>
      <c r="H138" s="47">
        <f t="shared" si="8"/>
        <v>237600</v>
      </c>
      <c r="I138" s="50" t="s">
        <v>276</v>
      </c>
      <c r="J138" s="124">
        <f t="shared" si="6"/>
        <v>755</v>
      </c>
      <c r="K138" s="124">
        <f>SUMIF(Table1316[Category],Table14174[[#This Row],[Category]],Table1316[[Quantity ]])</f>
        <v>345</v>
      </c>
      <c r="L138" s="124">
        <f>Table14174[[#This Row],[Inventory]]-Table14174[[#This Row],[Update ]]</f>
        <v>410</v>
      </c>
    </row>
    <row r="139" spans="1:12" x14ac:dyDescent="0.2">
      <c r="A139" s="125">
        <v>44981</v>
      </c>
      <c r="B139" s="9" t="s">
        <v>103</v>
      </c>
      <c r="C139" s="50" t="s">
        <v>278</v>
      </c>
      <c r="D139" s="50" t="s">
        <v>137</v>
      </c>
      <c r="E139" s="9">
        <v>2</v>
      </c>
      <c r="F139" s="47">
        <f>INDEX('Master (Filled)'!$Z$8:$Z$37,MATCH(D139,'Master (Filled)'!$Y$8:$Y$37,0))</f>
        <v>115000</v>
      </c>
      <c r="G139" s="119">
        <f t="shared" si="7"/>
        <v>0.02</v>
      </c>
      <c r="H139" s="47">
        <f t="shared" si="8"/>
        <v>227700</v>
      </c>
      <c r="I139" s="50" t="s">
        <v>278</v>
      </c>
      <c r="J139" s="124">
        <f t="shared" si="6"/>
        <v>755</v>
      </c>
      <c r="K139" s="124">
        <f>SUMIF(Table1316[Category],Table14174[[#This Row],[Category]],Table1316[[Quantity ]])</f>
        <v>299</v>
      </c>
      <c r="L139" s="124">
        <f>Table14174[[#This Row],[Inventory]]-Table14174[[#This Row],[Update ]]</f>
        <v>456</v>
      </c>
    </row>
    <row r="140" spans="1:12" x14ac:dyDescent="0.2">
      <c r="A140" s="125">
        <v>44981</v>
      </c>
      <c r="B140" s="9" t="s">
        <v>103</v>
      </c>
      <c r="C140" s="50" t="s">
        <v>278</v>
      </c>
      <c r="D140" s="50" t="s">
        <v>137</v>
      </c>
      <c r="E140" s="9">
        <v>2</v>
      </c>
      <c r="F140" s="47">
        <f>INDEX('Master (Filled)'!$Z$8:$Z$37,MATCH(D140,'Master (Filled)'!$Y$8:$Y$37,0))</f>
        <v>115000</v>
      </c>
      <c r="G140" s="119">
        <f t="shared" si="7"/>
        <v>0.02</v>
      </c>
      <c r="H140" s="47">
        <f t="shared" si="8"/>
        <v>227700</v>
      </c>
      <c r="I140" s="50" t="s">
        <v>278</v>
      </c>
      <c r="J140" s="124">
        <f t="shared" si="6"/>
        <v>755</v>
      </c>
      <c r="K140" s="124">
        <f>SUMIF(Table1316[Category],Table14174[[#This Row],[Category]],Table1316[[Quantity ]])</f>
        <v>299</v>
      </c>
      <c r="L140" s="124">
        <f>Table14174[[#This Row],[Inventory]]-Table14174[[#This Row],[Update ]]</f>
        <v>456</v>
      </c>
    </row>
    <row r="141" spans="1:12" x14ac:dyDescent="0.2">
      <c r="A141" s="125">
        <v>44981</v>
      </c>
      <c r="B141" s="9" t="s">
        <v>19</v>
      </c>
      <c r="C141" s="50" t="s">
        <v>280</v>
      </c>
      <c r="D141" s="50" t="s">
        <v>32</v>
      </c>
      <c r="E141" s="9">
        <v>3</v>
      </c>
      <c r="F141" s="47">
        <f>INDEX('Master (Filled)'!$Z$8:$Z$37,MATCH(D141,'Master (Filled)'!$Y$8:$Y$37,0))</f>
        <v>25500</v>
      </c>
      <c r="G141" s="119">
        <f t="shared" si="7"/>
        <v>0.02</v>
      </c>
      <c r="H141" s="47">
        <f t="shared" si="8"/>
        <v>75990</v>
      </c>
      <c r="I141" s="50" t="s">
        <v>280</v>
      </c>
      <c r="J141" s="124">
        <f t="shared" si="6"/>
        <v>755</v>
      </c>
      <c r="K141" s="124">
        <f>SUMIF(Table1316[Category],Table14174[[#This Row],[Category]],Table1316[[Quantity ]])</f>
        <v>241</v>
      </c>
      <c r="L141" s="124">
        <f>Table14174[[#This Row],[Inventory]]-Table14174[[#This Row],[Update ]]</f>
        <v>514</v>
      </c>
    </row>
    <row r="142" spans="1:12" x14ac:dyDescent="0.2">
      <c r="A142" s="125">
        <v>44982</v>
      </c>
      <c r="B142" s="9" t="s">
        <v>31</v>
      </c>
      <c r="C142" s="50" t="s">
        <v>280</v>
      </c>
      <c r="D142" s="50" t="s">
        <v>32</v>
      </c>
      <c r="E142" s="9">
        <v>4</v>
      </c>
      <c r="F142" s="47">
        <f>INDEX('Master (Filled)'!$Z$8:$Z$37,MATCH(D142,'Master (Filled)'!$Y$8:$Y$37,0))</f>
        <v>25500</v>
      </c>
      <c r="G142" s="119">
        <f t="shared" si="7"/>
        <v>0.02</v>
      </c>
      <c r="H142" s="47">
        <f t="shared" si="8"/>
        <v>101490</v>
      </c>
      <c r="I142" s="50" t="s">
        <v>280</v>
      </c>
      <c r="J142" s="124">
        <f t="shared" si="6"/>
        <v>755</v>
      </c>
      <c r="K142" s="124">
        <f>SUMIF(Table1316[Category],Table14174[[#This Row],[Category]],Table1316[[Quantity ]])</f>
        <v>241</v>
      </c>
      <c r="L142" s="124">
        <f>Table14174[[#This Row],[Inventory]]-Table14174[[#This Row],[Update ]]</f>
        <v>514</v>
      </c>
    </row>
    <row r="143" spans="1:12" x14ac:dyDescent="0.2">
      <c r="A143" s="125">
        <v>44982</v>
      </c>
      <c r="B143" s="9" t="s">
        <v>36</v>
      </c>
      <c r="C143" s="50" t="s">
        <v>278</v>
      </c>
      <c r="D143" s="50" t="s">
        <v>37</v>
      </c>
      <c r="E143" s="9">
        <v>5</v>
      </c>
      <c r="F143" s="47">
        <f>INDEX('Master (Filled)'!$Z$8:$Z$37,MATCH(D143,'Master (Filled)'!$Y$8:$Y$37,0))</f>
        <v>195000</v>
      </c>
      <c r="G143" s="119">
        <f t="shared" si="7"/>
        <v>0.02</v>
      </c>
      <c r="H143" s="47">
        <f t="shared" si="8"/>
        <v>971100</v>
      </c>
      <c r="I143" s="50" t="s">
        <v>278</v>
      </c>
      <c r="J143" s="124">
        <f t="shared" si="6"/>
        <v>755</v>
      </c>
      <c r="K143" s="124">
        <f>SUMIF(Table1316[Category],Table14174[[#This Row],[Category]],Table1316[[Quantity ]])</f>
        <v>299</v>
      </c>
      <c r="L143" s="124">
        <f>Table14174[[#This Row],[Inventory]]-Table14174[[#This Row],[Update ]]</f>
        <v>456</v>
      </c>
    </row>
    <row r="144" spans="1:12" x14ac:dyDescent="0.2">
      <c r="A144" s="125">
        <v>44982</v>
      </c>
      <c r="B144" s="9" t="s">
        <v>40</v>
      </c>
      <c r="C144" s="50" t="s">
        <v>278</v>
      </c>
      <c r="D144" s="50" t="s">
        <v>106</v>
      </c>
      <c r="E144" s="9">
        <v>7</v>
      </c>
      <c r="F144" s="47">
        <f>INDEX('Master (Filled)'!$Z$8:$Z$37,MATCH(D144,'Master (Filled)'!$Y$8:$Y$37,0))</f>
        <v>45500</v>
      </c>
      <c r="G144" s="119">
        <f t="shared" si="7"/>
        <v>0.02</v>
      </c>
      <c r="H144" s="47">
        <f t="shared" si="8"/>
        <v>317590</v>
      </c>
      <c r="I144" s="50" t="s">
        <v>278</v>
      </c>
      <c r="J144" s="124">
        <f t="shared" si="6"/>
        <v>755</v>
      </c>
      <c r="K144" s="124">
        <f>SUMIF(Table1316[Category],Table14174[[#This Row],[Category]],Table1316[[Quantity ]])</f>
        <v>299</v>
      </c>
      <c r="L144" s="124">
        <f>Table14174[[#This Row],[Inventory]]-Table14174[[#This Row],[Update ]]</f>
        <v>456</v>
      </c>
    </row>
    <row r="145" spans="1:12" x14ac:dyDescent="0.2">
      <c r="A145" s="125">
        <v>44982</v>
      </c>
      <c r="B145" s="9" t="s">
        <v>40</v>
      </c>
      <c r="C145" s="50" t="s">
        <v>278</v>
      </c>
      <c r="D145" s="50" t="s">
        <v>106</v>
      </c>
      <c r="E145" s="9">
        <v>7</v>
      </c>
      <c r="F145" s="47">
        <f>INDEX('Master (Filled)'!$Z$8:$Z$37,MATCH(D145,'Master (Filled)'!$Y$8:$Y$37,0))</f>
        <v>45500</v>
      </c>
      <c r="G145" s="119">
        <f t="shared" si="7"/>
        <v>0.02</v>
      </c>
      <c r="H145" s="47">
        <f t="shared" si="8"/>
        <v>317590</v>
      </c>
      <c r="I145" s="50" t="s">
        <v>278</v>
      </c>
      <c r="J145" s="124">
        <f t="shared" si="6"/>
        <v>755</v>
      </c>
      <c r="K145" s="124">
        <f>SUMIF(Table1316[Category],Table14174[[#This Row],[Category]],Table1316[[Quantity ]])</f>
        <v>299</v>
      </c>
      <c r="L145" s="124">
        <f>Table14174[[#This Row],[Inventory]]-Table14174[[#This Row],[Update ]]</f>
        <v>456</v>
      </c>
    </row>
    <row r="146" spans="1:12" x14ac:dyDescent="0.2">
      <c r="A146" s="125">
        <v>44982</v>
      </c>
      <c r="B146" s="9" t="s">
        <v>46</v>
      </c>
      <c r="C146" s="50" t="s">
        <v>278</v>
      </c>
      <c r="D146" s="50" t="s">
        <v>106</v>
      </c>
      <c r="E146" s="9">
        <v>5</v>
      </c>
      <c r="F146" s="47">
        <f>INDEX('Master (Filled)'!$Z$8:$Z$37,MATCH(D146,'Master (Filled)'!$Y$8:$Y$37,0))</f>
        <v>45500</v>
      </c>
      <c r="G146" s="119">
        <f t="shared" si="7"/>
        <v>0.02</v>
      </c>
      <c r="H146" s="47">
        <f t="shared" si="8"/>
        <v>226590</v>
      </c>
      <c r="I146" s="50" t="s">
        <v>278</v>
      </c>
      <c r="J146" s="124">
        <f t="shared" si="6"/>
        <v>755</v>
      </c>
      <c r="K146" s="124">
        <f>SUMIF(Table1316[Category],Table14174[[#This Row],[Category]],Table1316[[Quantity ]])</f>
        <v>299</v>
      </c>
      <c r="L146" s="124">
        <f>Table14174[[#This Row],[Inventory]]-Table14174[[#This Row],[Update ]]</f>
        <v>456</v>
      </c>
    </row>
    <row r="147" spans="1:12" x14ac:dyDescent="0.2">
      <c r="A147" s="125">
        <v>44983</v>
      </c>
      <c r="B147" s="9" t="s">
        <v>36</v>
      </c>
      <c r="C147" s="50" t="s">
        <v>278</v>
      </c>
      <c r="D147" s="50" t="s">
        <v>37</v>
      </c>
      <c r="E147" s="9">
        <v>4</v>
      </c>
      <c r="F147" s="47">
        <f>INDEX('Master (Filled)'!$Z$8:$Z$37,MATCH(D147,'Master (Filled)'!$Y$8:$Y$37,0))</f>
        <v>195000</v>
      </c>
      <c r="G147" s="119">
        <f t="shared" si="7"/>
        <v>0.02</v>
      </c>
      <c r="H147" s="47">
        <f t="shared" si="8"/>
        <v>776100</v>
      </c>
      <c r="I147" s="50" t="s">
        <v>278</v>
      </c>
      <c r="J147" s="124">
        <f t="shared" si="6"/>
        <v>755</v>
      </c>
      <c r="K147" s="124">
        <f>SUMIF(Table1316[Category],Table14174[[#This Row],[Category]],Table1316[[Quantity ]])</f>
        <v>299</v>
      </c>
      <c r="L147" s="124">
        <f>Table14174[[#This Row],[Inventory]]-Table14174[[#This Row],[Update ]]</f>
        <v>456</v>
      </c>
    </row>
    <row r="148" spans="1:12" x14ac:dyDescent="0.2">
      <c r="A148" s="125">
        <v>44983</v>
      </c>
      <c r="B148" s="9" t="s">
        <v>52</v>
      </c>
      <c r="C148" s="50" t="s">
        <v>276</v>
      </c>
      <c r="D148" s="49" t="s">
        <v>186</v>
      </c>
      <c r="E148" s="9">
        <v>6</v>
      </c>
      <c r="F148" s="47">
        <f>INDEX('Master (Filled)'!$Z$8:$Z$37,MATCH(D148,'Master (Filled)'!$Y$8:$Y$37,0))</f>
        <v>75000</v>
      </c>
      <c r="G148" s="119">
        <f t="shared" si="7"/>
        <v>0.02</v>
      </c>
      <c r="H148" s="47">
        <f t="shared" si="8"/>
        <v>448500</v>
      </c>
      <c r="I148" s="50" t="s">
        <v>276</v>
      </c>
      <c r="J148" s="124">
        <f t="shared" si="6"/>
        <v>755</v>
      </c>
      <c r="K148" s="124">
        <f>SUMIF(Table1316[Category],Table14174[[#This Row],[Category]],Table1316[[Quantity ]])</f>
        <v>345</v>
      </c>
      <c r="L148" s="124">
        <f>Table14174[[#This Row],[Inventory]]-Table14174[[#This Row],[Update ]]</f>
        <v>410</v>
      </c>
    </row>
    <row r="149" spans="1:12" x14ac:dyDescent="0.2">
      <c r="A149" s="125">
        <v>44983</v>
      </c>
      <c r="B149" s="9" t="s">
        <v>56</v>
      </c>
      <c r="C149" s="50" t="s">
        <v>276</v>
      </c>
      <c r="D149" s="49" t="s">
        <v>92</v>
      </c>
      <c r="E149" s="9">
        <v>8</v>
      </c>
      <c r="F149" s="47">
        <f>INDEX('Master (Filled)'!$Z$8:$Z$37,MATCH(D149,'Master (Filled)'!$Y$8:$Y$37,0))</f>
        <v>55000</v>
      </c>
      <c r="G149" s="119">
        <f t="shared" si="7"/>
        <v>0.02</v>
      </c>
      <c r="H149" s="47">
        <f t="shared" si="8"/>
        <v>438900</v>
      </c>
      <c r="I149" s="50" t="s">
        <v>276</v>
      </c>
      <c r="J149" s="124">
        <f t="shared" si="6"/>
        <v>755</v>
      </c>
      <c r="K149" s="124">
        <f>SUMIF(Table1316[Category],Table14174[[#This Row],[Category]],Table1316[[Quantity ]])</f>
        <v>345</v>
      </c>
      <c r="L149" s="124">
        <f>Table14174[[#This Row],[Inventory]]-Table14174[[#This Row],[Update ]]</f>
        <v>410</v>
      </c>
    </row>
    <row r="150" spans="1:12" x14ac:dyDescent="0.2">
      <c r="A150" s="125">
        <v>44983</v>
      </c>
      <c r="B150" s="9" t="s">
        <v>59</v>
      </c>
      <c r="C150" s="50" t="s">
        <v>276</v>
      </c>
      <c r="D150" s="49" t="s">
        <v>189</v>
      </c>
      <c r="E150" s="9">
        <v>8</v>
      </c>
      <c r="F150" s="47">
        <f>INDEX('Master (Filled)'!$Z$8:$Z$37,MATCH(D150,'Master (Filled)'!$Y$8:$Y$37,0))</f>
        <v>120000</v>
      </c>
      <c r="G150" s="119">
        <f t="shared" si="7"/>
        <v>0.02</v>
      </c>
      <c r="H150" s="47">
        <f t="shared" si="8"/>
        <v>957600</v>
      </c>
      <c r="I150" s="50" t="s">
        <v>276</v>
      </c>
      <c r="J150" s="124">
        <f t="shared" si="6"/>
        <v>755</v>
      </c>
      <c r="K150" s="124">
        <f>SUMIF(Table1316[Category],Table14174[[#This Row],[Category]],Table1316[[Quantity ]])</f>
        <v>345</v>
      </c>
      <c r="L150" s="124">
        <f>Table14174[[#This Row],[Inventory]]-Table14174[[#This Row],[Update ]]</f>
        <v>410</v>
      </c>
    </row>
    <row r="151" spans="1:12" x14ac:dyDescent="0.2">
      <c r="A151" s="125">
        <v>44984</v>
      </c>
      <c r="B151" s="9" t="s">
        <v>31</v>
      </c>
      <c r="C151" s="50" t="s">
        <v>280</v>
      </c>
      <c r="D151" s="50" t="s">
        <v>32</v>
      </c>
      <c r="E151" s="9">
        <v>9</v>
      </c>
      <c r="F151" s="47">
        <f>INDEX('Master (Filled)'!$Z$8:$Z$37,MATCH(D151,'Master (Filled)'!$Y$8:$Y$37,0))</f>
        <v>25500</v>
      </c>
      <c r="G151" s="119">
        <f t="shared" si="7"/>
        <v>0.03</v>
      </c>
      <c r="H151" s="47">
        <f t="shared" si="8"/>
        <v>228735</v>
      </c>
      <c r="I151" s="50" t="s">
        <v>280</v>
      </c>
      <c r="J151" s="124">
        <f t="shared" si="6"/>
        <v>755</v>
      </c>
      <c r="K151" s="124">
        <f>SUMIF(Table1316[Category],Table14174[[#This Row],[Category]],Table1316[[Quantity ]])</f>
        <v>241</v>
      </c>
      <c r="L151" s="124">
        <f>Table14174[[#This Row],[Inventory]]-Table14174[[#This Row],[Update ]]</f>
        <v>514</v>
      </c>
    </row>
    <row r="152" spans="1:12" x14ac:dyDescent="0.2">
      <c r="A152" s="125">
        <v>44984</v>
      </c>
      <c r="B152" s="9" t="s">
        <v>59</v>
      </c>
      <c r="C152" s="50" t="s">
        <v>276</v>
      </c>
      <c r="D152" s="49" t="s">
        <v>189</v>
      </c>
      <c r="E152" s="9">
        <v>11</v>
      </c>
      <c r="F152" s="47">
        <f>INDEX('Master (Filled)'!$Z$8:$Z$37,MATCH(D152,'Master (Filled)'!$Y$8:$Y$37,0))</f>
        <v>120000</v>
      </c>
      <c r="G152" s="119">
        <f t="shared" si="7"/>
        <v>0.03</v>
      </c>
      <c r="H152" s="47">
        <f t="shared" si="8"/>
        <v>1316400</v>
      </c>
      <c r="I152" s="50" t="s">
        <v>276</v>
      </c>
      <c r="J152" s="124">
        <f t="shared" ref="J152:J181" si="9">IF(D152="Food Product",700,IF(D152="Non Food Product",900,IF(D152="General Merchandise Product",855,755)))</f>
        <v>755</v>
      </c>
      <c r="K152" s="124">
        <f>SUMIF(Table1316[Category],Table14174[[#This Row],[Category]],Table1316[[Quantity ]])</f>
        <v>345</v>
      </c>
      <c r="L152" s="124">
        <f>Table14174[[#This Row],[Inventory]]-Table14174[[#This Row],[Update ]]</f>
        <v>410</v>
      </c>
    </row>
    <row r="153" spans="1:12" x14ac:dyDescent="0.2">
      <c r="A153" s="125">
        <v>44984</v>
      </c>
      <c r="B153" s="9" t="s">
        <v>52</v>
      </c>
      <c r="C153" s="50" t="s">
        <v>276</v>
      </c>
      <c r="D153" s="49" t="s">
        <v>92</v>
      </c>
      <c r="E153" s="9">
        <v>10</v>
      </c>
      <c r="F153" s="47">
        <f>INDEX('Master (Filled)'!$Z$8:$Z$37,MATCH(D153,'Master (Filled)'!$Y$8:$Y$37,0))</f>
        <v>55000</v>
      </c>
      <c r="G153" s="119">
        <f t="shared" si="7"/>
        <v>0.03</v>
      </c>
      <c r="H153" s="47">
        <f t="shared" si="8"/>
        <v>548350</v>
      </c>
      <c r="I153" s="50" t="s">
        <v>276</v>
      </c>
      <c r="J153" s="124">
        <f t="shared" si="9"/>
        <v>755</v>
      </c>
      <c r="K153" s="124">
        <f>SUMIF(Table1316[Category],Table14174[[#This Row],[Category]],Table1316[[Quantity ]])</f>
        <v>345</v>
      </c>
      <c r="L153" s="124">
        <f>Table14174[[#This Row],[Inventory]]-Table14174[[#This Row],[Update ]]</f>
        <v>410</v>
      </c>
    </row>
    <row r="154" spans="1:12" x14ac:dyDescent="0.2">
      <c r="A154" s="125">
        <v>44984</v>
      </c>
      <c r="B154" s="9" t="s">
        <v>59</v>
      </c>
      <c r="C154" s="50" t="s">
        <v>276</v>
      </c>
      <c r="D154" s="49" t="s">
        <v>189</v>
      </c>
      <c r="E154" s="9">
        <v>9</v>
      </c>
      <c r="F154" s="47">
        <f>INDEX('Master (Filled)'!$Z$8:$Z$37,MATCH(D154,'Master (Filled)'!$Y$8:$Y$37,0))</f>
        <v>120000</v>
      </c>
      <c r="G154" s="119">
        <f t="shared" si="7"/>
        <v>0.03</v>
      </c>
      <c r="H154" s="47">
        <f t="shared" si="8"/>
        <v>1076400</v>
      </c>
      <c r="I154" s="50" t="s">
        <v>276</v>
      </c>
      <c r="J154" s="124">
        <f t="shared" si="9"/>
        <v>755</v>
      </c>
      <c r="K154" s="124">
        <f>SUMIF(Table1316[Category],Table14174[[#This Row],[Category]],Table1316[[Quantity ]])</f>
        <v>345</v>
      </c>
      <c r="L154" s="124">
        <f>Table14174[[#This Row],[Inventory]]-Table14174[[#This Row],[Update ]]</f>
        <v>410</v>
      </c>
    </row>
    <row r="155" spans="1:12" x14ac:dyDescent="0.2">
      <c r="A155" s="125">
        <v>44985</v>
      </c>
      <c r="B155" s="9" t="s">
        <v>67</v>
      </c>
      <c r="C155" s="50" t="s">
        <v>282</v>
      </c>
      <c r="D155" s="49" t="s">
        <v>62</v>
      </c>
      <c r="E155" s="9">
        <v>5</v>
      </c>
      <c r="F155" s="47">
        <f>INDEX('Master (Filled)'!$Z$8:$Z$37,MATCH(D155,'Master (Filled)'!$Y$8:$Y$37,0))</f>
        <v>75000</v>
      </c>
      <c r="G155" s="119">
        <f t="shared" si="7"/>
        <v>0.02</v>
      </c>
      <c r="H155" s="47">
        <f t="shared" si="8"/>
        <v>373500</v>
      </c>
      <c r="I155" s="50" t="s">
        <v>282</v>
      </c>
      <c r="J155" s="124">
        <f t="shared" si="9"/>
        <v>755</v>
      </c>
      <c r="K155" s="124">
        <f>SUMIF(Table1316[Category],Table14174[[#This Row],[Category]],Table1316[[Quantity ]])</f>
        <v>215</v>
      </c>
      <c r="L155" s="124">
        <f>Table14174[[#This Row],[Inventory]]-Table14174[[#This Row],[Update ]]</f>
        <v>540</v>
      </c>
    </row>
    <row r="156" spans="1:12" x14ac:dyDescent="0.2">
      <c r="A156" s="125">
        <v>44985</v>
      </c>
      <c r="B156" s="9" t="s">
        <v>67</v>
      </c>
      <c r="C156" s="50" t="s">
        <v>282</v>
      </c>
      <c r="D156" s="49" t="s">
        <v>64</v>
      </c>
      <c r="E156" s="9">
        <v>5</v>
      </c>
      <c r="F156" s="47">
        <f>INDEX('Master (Filled)'!$Z$8:$Z$37,MATCH(D156,'Master (Filled)'!$Y$8:$Y$37,0))</f>
        <v>85000</v>
      </c>
      <c r="G156" s="119">
        <f t="shared" si="7"/>
        <v>0.02</v>
      </c>
      <c r="H156" s="47">
        <f t="shared" si="8"/>
        <v>423300</v>
      </c>
      <c r="I156" s="50" t="s">
        <v>282</v>
      </c>
      <c r="J156" s="124">
        <f t="shared" si="9"/>
        <v>755</v>
      </c>
      <c r="K156" s="124">
        <f>SUMIF(Table1316[Category],Table14174[[#This Row],[Category]],Table1316[[Quantity ]])</f>
        <v>215</v>
      </c>
      <c r="L156" s="124">
        <f>Table14174[[#This Row],[Inventory]]-Table14174[[#This Row],[Update ]]</f>
        <v>540</v>
      </c>
    </row>
    <row r="157" spans="1:12" x14ac:dyDescent="0.2">
      <c r="A157" s="125">
        <v>44985</v>
      </c>
      <c r="B157" s="9" t="s">
        <v>59</v>
      </c>
      <c r="C157" s="50" t="s">
        <v>276</v>
      </c>
      <c r="D157" s="49" t="s">
        <v>92</v>
      </c>
      <c r="E157" s="9">
        <v>3</v>
      </c>
      <c r="F157" s="47">
        <f>INDEX('Master (Filled)'!$Z$8:$Z$37,MATCH(D157,'Master (Filled)'!$Y$8:$Y$37,0))</f>
        <v>55000</v>
      </c>
      <c r="G157" s="119">
        <f t="shared" si="7"/>
        <v>0.02</v>
      </c>
      <c r="H157" s="47">
        <f t="shared" si="8"/>
        <v>163900</v>
      </c>
      <c r="I157" s="50" t="s">
        <v>276</v>
      </c>
      <c r="J157" s="124">
        <f t="shared" si="9"/>
        <v>755</v>
      </c>
      <c r="K157" s="124">
        <f>SUMIF(Table1316[Category],Table14174[[#This Row],[Category]],Table1316[[Quantity ]])</f>
        <v>345</v>
      </c>
      <c r="L157" s="124">
        <f>Table14174[[#This Row],[Inventory]]-Table14174[[#This Row],[Update ]]</f>
        <v>410</v>
      </c>
    </row>
    <row r="158" spans="1:12" x14ac:dyDescent="0.2">
      <c r="A158" s="125">
        <v>44985</v>
      </c>
      <c r="B158" s="9" t="s">
        <v>31</v>
      </c>
      <c r="C158" s="50" t="s">
        <v>280</v>
      </c>
      <c r="D158" s="50" t="s">
        <v>32</v>
      </c>
      <c r="E158" s="9">
        <v>2</v>
      </c>
      <c r="F158" s="47">
        <f>INDEX('Master (Filled)'!$Z$8:$Z$37,MATCH(D158,'Master (Filled)'!$Y$8:$Y$37,0))</f>
        <v>25500</v>
      </c>
      <c r="G158" s="119">
        <f t="shared" si="7"/>
        <v>0.02</v>
      </c>
      <c r="H158" s="47">
        <f t="shared" si="8"/>
        <v>50490</v>
      </c>
      <c r="I158" s="50" t="s">
        <v>280</v>
      </c>
      <c r="J158" s="124">
        <f t="shared" si="9"/>
        <v>755</v>
      </c>
      <c r="K158" s="124">
        <f>SUMIF(Table1316[Category],Table14174[[#This Row],[Category]],Table1316[[Quantity ]])</f>
        <v>241</v>
      </c>
      <c r="L158" s="124">
        <f>Table14174[[#This Row],[Inventory]]-Table14174[[#This Row],[Update ]]</f>
        <v>514</v>
      </c>
    </row>
    <row r="159" spans="1:12" x14ac:dyDescent="0.2">
      <c r="A159" s="125">
        <v>44985</v>
      </c>
      <c r="B159" s="9" t="s">
        <v>67</v>
      </c>
      <c r="C159" s="50" t="s">
        <v>282</v>
      </c>
      <c r="D159" s="49" t="s">
        <v>62</v>
      </c>
      <c r="E159" s="9">
        <v>2</v>
      </c>
      <c r="F159" s="47">
        <f>INDEX('Master (Filled)'!$Z$8:$Z$37,MATCH(D159,'Master (Filled)'!$Y$8:$Y$37,0))</f>
        <v>75000</v>
      </c>
      <c r="G159" s="119">
        <f t="shared" si="7"/>
        <v>0.02</v>
      </c>
      <c r="H159" s="47">
        <f t="shared" si="8"/>
        <v>148500</v>
      </c>
      <c r="I159" s="50" t="s">
        <v>282</v>
      </c>
      <c r="J159" s="124">
        <f t="shared" si="9"/>
        <v>755</v>
      </c>
      <c r="K159" s="124">
        <f>SUMIF(Table1316[Category],Table14174[[#This Row],[Category]],Table1316[[Quantity ]])</f>
        <v>215</v>
      </c>
      <c r="L159" s="124">
        <f>Table14174[[#This Row],[Inventory]]-Table14174[[#This Row],[Update ]]</f>
        <v>540</v>
      </c>
    </row>
    <row r="160" spans="1:12" x14ac:dyDescent="0.2">
      <c r="A160" s="125">
        <v>44985</v>
      </c>
      <c r="B160" s="9" t="s">
        <v>31</v>
      </c>
      <c r="C160" s="50" t="s">
        <v>280</v>
      </c>
      <c r="D160" s="50" t="s">
        <v>25</v>
      </c>
      <c r="E160" s="9">
        <v>2</v>
      </c>
      <c r="F160" s="47">
        <f>INDEX('Master (Filled)'!$Z$8:$Z$37,MATCH(D160,'Master (Filled)'!$Y$8:$Y$37,0))</f>
        <v>69999</v>
      </c>
      <c r="G160" s="119">
        <f t="shared" si="7"/>
        <v>0.02</v>
      </c>
      <c r="H160" s="47">
        <f t="shared" si="8"/>
        <v>138598.01999999999</v>
      </c>
      <c r="I160" s="50" t="s">
        <v>280</v>
      </c>
      <c r="J160" s="124">
        <f t="shared" si="9"/>
        <v>755</v>
      </c>
      <c r="K160" s="124">
        <f>SUMIF(Table1316[Category],Table14174[[#This Row],[Category]],Table1316[[Quantity ]])</f>
        <v>241</v>
      </c>
      <c r="L160" s="124">
        <f>Table14174[[#This Row],[Inventory]]-Table14174[[#This Row],[Update ]]</f>
        <v>514</v>
      </c>
    </row>
    <row r="161" spans="1:12" x14ac:dyDescent="0.2">
      <c r="A161" s="125">
        <v>44986</v>
      </c>
      <c r="B161" s="9" t="s">
        <v>31</v>
      </c>
      <c r="C161" s="50" t="s">
        <v>280</v>
      </c>
      <c r="D161" s="50" t="s">
        <v>32</v>
      </c>
      <c r="E161" s="9">
        <v>4</v>
      </c>
      <c r="F161" s="47">
        <f>INDEX('Master (Filled)'!$Z$8:$Z$37,MATCH(D161,'Master (Filled)'!$Y$8:$Y$37,0))</f>
        <v>25500</v>
      </c>
      <c r="G161" s="119">
        <f t="shared" si="7"/>
        <v>0.02</v>
      </c>
      <c r="H161" s="47">
        <f t="shared" si="8"/>
        <v>101490</v>
      </c>
      <c r="I161" s="50" t="s">
        <v>280</v>
      </c>
      <c r="J161" s="124">
        <f t="shared" si="9"/>
        <v>755</v>
      </c>
      <c r="K161" s="124">
        <f>SUMIF(Table1316[Category],Table14174[[#This Row],[Category]],Table1316[[Quantity ]])</f>
        <v>241</v>
      </c>
      <c r="L161" s="124">
        <f>Table14174[[#This Row],[Inventory]]-Table14174[[#This Row],[Update ]]</f>
        <v>514</v>
      </c>
    </row>
    <row r="162" spans="1:12" x14ac:dyDescent="0.2">
      <c r="A162" s="125">
        <v>44986</v>
      </c>
      <c r="B162" s="9" t="s">
        <v>31</v>
      </c>
      <c r="C162" s="50" t="s">
        <v>280</v>
      </c>
      <c r="D162" s="50" t="s">
        <v>32</v>
      </c>
      <c r="E162" s="9">
        <v>5</v>
      </c>
      <c r="F162" s="47">
        <f>INDEX('Master (Filled)'!$Z$8:$Z$37,MATCH(D162,'Master (Filled)'!$Y$8:$Y$37,0))</f>
        <v>25500</v>
      </c>
      <c r="G162" s="119">
        <f t="shared" si="7"/>
        <v>0.02</v>
      </c>
      <c r="H162" s="47">
        <f t="shared" si="8"/>
        <v>126990</v>
      </c>
      <c r="I162" s="50" t="s">
        <v>280</v>
      </c>
      <c r="J162" s="124">
        <f t="shared" si="9"/>
        <v>755</v>
      </c>
      <c r="K162" s="124">
        <f>SUMIF(Table1316[Category],Table14174[[#This Row],[Category]],Table1316[[Quantity ]])</f>
        <v>241</v>
      </c>
      <c r="L162" s="124">
        <f>Table14174[[#This Row],[Inventory]]-Table14174[[#This Row],[Update ]]</f>
        <v>514</v>
      </c>
    </row>
    <row r="163" spans="1:12" x14ac:dyDescent="0.2">
      <c r="A163" s="125">
        <v>44986</v>
      </c>
      <c r="B163" s="9" t="s">
        <v>59</v>
      </c>
      <c r="C163" s="50" t="s">
        <v>276</v>
      </c>
      <c r="D163" s="49" t="s">
        <v>189</v>
      </c>
      <c r="E163" s="9">
        <v>5</v>
      </c>
      <c r="F163" s="47">
        <f>INDEX('Master (Filled)'!$Z$8:$Z$37,MATCH(D163,'Master (Filled)'!$Y$8:$Y$37,0))</f>
        <v>120000</v>
      </c>
      <c r="G163" s="119">
        <f t="shared" si="7"/>
        <v>0.02</v>
      </c>
      <c r="H163" s="47">
        <f t="shared" si="8"/>
        <v>597600</v>
      </c>
      <c r="I163" s="50" t="s">
        <v>276</v>
      </c>
      <c r="J163" s="124">
        <f t="shared" si="9"/>
        <v>755</v>
      </c>
      <c r="K163" s="124">
        <f>SUMIF(Table1316[Category],Table14174[[#This Row],[Category]],Table1316[[Quantity ]])</f>
        <v>345</v>
      </c>
      <c r="L163" s="124">
        <f>Table14174[[#This Row],[Inventory]]-Table14174[[#This Row],[Update ]]</f>
        <v>410</v>
      </c>
    </row>
    <row r="164" spans="1:12" x14ac:dyDescent="0.2">
      <c r="A164" s="125">
        <v>44986</v>
      </c>
      <c r="B164" s="9" t="s">
        <v>59</v>
      </c>
      <c r="C164" s="50" t="s">
        <v>276</v>
      </c>
      <c r="D164" s="49" t="s">
        <v>189</v>
      </c>
      <c r="E164" s="9">
        <v>7</v>
      </c>
      <c r="F164" s="47">
        <f>INDEX('Master (Filled)'!$Z$8:$Z$37,MATCH(D164,'Master (Filled)'!$Y$8:$Y$37,0))</f>
        <v>120000</v>
      </c>
      <c r="G164" s="119">
        <f t="shared" si="7"/>
        <v>0.02</v>
      </c>
      <c r="H164" s="47">
        <f t="shared" si="8"/>
        <v>837600</v>
      </c>
      <c r="I164" s="50" t="s">
        <v>276</v>
      </c>
      <c r="J164" s="124">
        <f t="shared" si="9"/>
        <v>755</v>
      </c>
      <c r="K164" s="124">
        <f>SUMIF(Table1316[Category],Table14174[[#This Row],[Category]],Table1316[[Quantity ]])</f>
        <v>345</v>
      </c>
      <c r="L164" s="124">
        <f>Table14174[[#This Row],[Inventory]]-Table14174[[#This Row],[Update ]]</f>
        <v>410</v>
      </c>
    </row>
    <row r="165" spans="1:12" x14ac:dyDescent="0.2">
      <c r="A165" s="125">
        <v>44986</v>
      </c>
      <c r="B165" s="9" t="s">
        <v>59</v>
      </c>
      <c r="C165" s="50" t="s">
        <v>276</v>
      </c>
      <c r="D165" s="49" t="s">
        <v>92</v>
      </c>
      <c r="E165" s="9">
        <v>7</v>
      </c>
      <c r="F165" s="47">
        <f>INDEX('Master (Filled)'!$Z$8:$Z$37,MATCH(D165,'Master (Filled)'!$Y$8:$Y$37,0))</f>
        <v>55000</v>
      </c>
      <c r="G165" s="119">
        <f t="shared" si="7"/>
        <v>0.02</v>
      </c>
      <c r="H165" s="47">
        <f t="shared" si="8"/>
        <v>383900</v>
      </c>
      <c r="I165" s="50" t="s">
        <v>276</v>
      </c>
      <c r="J165" s="124">
        <f t="shared" si="9"/>
        <v>755</v>
      </c>
      <c r="K165" s="124">
        <f>SUMIF(Table1316[Category],Table14174[[#This Row],[Category]],Table1316[[Quantity ]])</f>
        <v>345</v>
      </c>
      <c r="L165" s="124">
        <f>Table14174[[#This Row],[Inventory]]-Table14174[[#This Row],[Update ]]</f>
        <v>410</v>
      </c>
    </row>
    <row r="166" spans="1:12" x14ac:dyDescent="0.2">
      <c r="A166" s="125">
        <v>44987</v>
      </c>
      <c r="B166" s="9" t="s">
        <v>36</v>
      </c>
      <c r="C166" s="50" t="s">
        <v>278</v>
      </c>
      <c r="D166" s="50" t="s">
        <v>37</v>
      </c>
      <c r="E166" s="9">
        <v>7</v>
      </c>
      <c r="F166" s="47">
        <f>INDEX('Master (Filled)'!$Z$8:$Z$37,MATCH(D166,'Master (Filled)'!$Y$8:$Y$37,0))</f>
        <v>195000</v>
      </c>
      <c r="G166" s="119">
        <f t="shared" si="7"/>
        <v>0.02</v>
      </c>
      <c r="H166" s="47">
        <f t="shared" si="8"/>
        <v>1361100</v>
      </c>
      <c r="I166" s="50" t="s">
        <v>278</v>
      </c>
      <c r="J166" s="124">
        <f t="shared" si="9"/>
        <v>755</v>
      </c>
      <c r="K166" s="124">
        <f>SUMIF(Table1316[Category],Table14174[[#This Row],[Category]],Table1316[[Quantity ]])</f>
        <v>299</v>
      </c>
      <c r="L166" s="124">
        <f>Table14174[[#This Row],[Inventory]]-Table14174[[#This Row],[Update ]]</f>
        <v>456</v>
      </c>
    </row>
    <row r="167" spans="1:12" x14ac:dyDescent="0.2">
      <c r="A167" s="125">
        <v>44987</v>
      </c>
      <c r="B167" s="9" t="s">
        <v>40</v>
      </c>
      <c r="C167" s="50" t="s">
        <v>278</v>
      </c>
      <c r="D167" s="50" t="s">
        <v>37</v>
      </c>
      <c r="E167" s="9">
        <v>8</v>
      </c>
      <c r="F167" s="47">
        <f>INDEX('Master (Filled)'!$Z$8:$Z$37,MATCH(D167,'Master (Filled)'!$Y$8:$Y$37,0))</f>
        <v>195000</v>
      </c>
      <c r="G167" s="119">
        <f t="shared" si="7"/>
        <v>0.02</v>
      </c>
      <c r="H167" s="47">
        <f t="shared" si="8"/>
        <v>1556100</v>
      </c>
      <c r="I167" s="50" t="s">
        <v>278</v>
      </c>
      <c r="J167" s="124">
        <f t="shared" si="9"/>
        <v>755</v>
      </c>
      <c r="K167" s="124">
        <f>SUMIF(Table1316[Category],Table14174[[#This Row],[Category]],Table1316[[Quantity ]])</f>
        <v>299</v>
      </c>
      <c r="L167" s="124">
        <f>Table14174[[#This Row],[Inventory]]-Table14174[[#This Row],[Update ]]</f>
        <v>456</v>
      </c>
    </row>
    <row r="168" spans="1:12" x14ac:dyDescent="0.2">
      <c r="A168" s="125">
        <v>44987</v>
      </c>
      <c r="B168" s="9" t="s">
        <v>67</v>
      </c>
      <c r="C168" s="50" t="s">
        <v>282</v>
      </c>
      <c r="D168" s="49" t="s">
        <v>62</v>
      </c>
      <c r="E168" s="9">
        <v>5</v>
      </c>
      <c r="F168" s="47">
        <f>INDEX('Master (Filled)'!$Z$8:$Z$37,MATCH(D168,'Master (Filled)'!$Y$8:$Y$37,0))</f>
        <v>75000</v>
      </c>
      <c r="G168" s="119">
        <f t="shared" si="7"/>
        <v>0.02</v>
      </c>
      <c r="H168" s="47">
        <f t="shared" si="8"/>
        <v>373500</v>
      </c>
      <c r="I168" s="50" t="s">
        <v>282</v>
      </c>
      <c r="J168" s="124">
        <f t="shared" si="9"/>
        <v>755</v>
      </c>
      <c r="K168" s="124">
        <f>SUMIF(Table1316[Category],Table14174[[#This Row],[Category]],Table1316[[Quantity ]])</f>
        <v>215</v>
      </c>
      <c r="L168" s="124">
        <f>Table14174[[#This Row],[Inventory]]-Table14174[[#This Row],[Update ]]</f>
        <v>540</v>
      </c>
    </row>
    <row r="169" spans="1:12" x14ac:dyDescent="0.2">
      <c r="A169" s="125">
        <v>44987</v>
      </c>
      <c r="B169" s="9" t="s">
        <v>36</v>
      </c>
      <c r="C169" s="50" t="s">
        <v>278</v>
      </c>
      <c r="D169" s="50" t="s">
        <v>137</v>
      </c>
      <c r="E169" s="9">
        <v>4</v>
      </c>
      <c r="F169" s="47">
        <f>INDEX('Master (Filled)'!$Z$8:$Z$37,MATCH(D169,'Master (Filled)'!$Y$8:$Y$37,0))</f>
        <v>115000</v>
      </c>
      <c r="G169" s="119">
        <f t="shared" si="7"/>
        <v>0.02</v>
      </c>
      <c r="H169" s="47">
        <f t="shared" si="8"/>
        <v>457700</v>
      </c>
      <c r="I169" s="50" t="s">
        <v>278</v>
      </c>
      <c r="J169" s="124">
        <f t="shared" si="9"/>
        <v>755</v>
      </c>
      <c r="K169" s="124">
        <f>SUMIF(Table1316[Category],Table14174[[#This Row],[Category]],Table1316[[Quantity ]])</f>
        <v>299</v>
      </c>
      <c r="L169" s="124">
        <f>Table14174[[#This Row],[Inventory]]-Table14174[[#This Row],[Update ]]</f>
        <v>456</v>
      </c>
    </row>
    <row r="170" spans="1:12" x14ac:dyDescent="0.2">
      <c r="A170" s="125">
        <v>44987</v>
      </c>
      <c r="B170" s="9" t="s">
        <v>56</v>
      </c>
      <c r="C170" s="50" t="s">
        <v>276</v>
      </c>
      <c r="D170" s="49" t="s">
        <v>92</v>
      </c>
      <c r="E170" s="9">
        <v>6</v>
      </c>
      <c r="F170" s="47">
        <f>INDEX('Master (Filled)'!$Z$8:$Z$37,MATCH(D170,'Master (Filled)'!$Y$8:$Y$37,0))</f>
        <v>55000</v>
      </c>
      <c r="G170" s="119">
        <f t="shared" si="7"/>
        <v>0.02</v>
      </c>
      <c r="H170" s="47">
        <f t="shared" si="8"/>
        <v>328900</v>
      </c>
      <c r="I170" s="50" t="s">
        <v>276</v>
      </c>
      <c r="J170" s="124">
        <f t="shared" si="9"/>
        <v>755</v>
      </c>
      <c r="K170" s="124">
        <f>SUMIF(Table1316[Category],Table14174[[#This Row],[Category]],Table1316[[Quantity ]])</f>
        <v>345</v>
      </c>
      <c r="L170" s="124">
        <f>Table14174[[#This Row],[Inventory]]-Table14174[[#This Row],[Update ]]</f>
        <v>410</v>
      </c>
    </row>
    <row r="171" spans="1:12" x14ac:dyDescent="0.2">
      <c r="A171" s="125">
        <v>44987</v>
      </c>
      <c r="B171" s="9" t="s">
        <v>52</v>
      </c>
      <c r="C171" s="50" t="s">
        <v>276</v>
      </c>
      <c r="D171" s="49" t="s">
        <v>189</v>
      </c>
      <c r="E171" s="9">
        <v>8</v>
      </c>
      <c r="F171" s="47">
        <f>INDEX('Master (Filled)'!$Z$8:$Z$37,MATCH(D171,'Master (Filled)'!$Y$8:$Y$37,0))</f>
        <v>120000</v>
      </c>
      <c r="G171" s="119">
        <f t="shared" si="7"/>
        <v>0.02</v>
      </c>
      <c r="H171" s="47">
        <f t="shared" si="8"/>
        <v>957600</v>
      </c>
      <c r="I171" s="50" t="s">
        <v>276</v>
      </c>
      <c r="J171" s="124">
        <f t="shared" si="9"/>
        <v>755</v>
      </c>
      <c r="K171" s="124">
        <f>SUMIF(Table1316[Category],Table14174[[#This Row],[Category]],Table1316[[Quantity ]])</f>
        <v>345</v>
      </c>
      <c r="L171" s="124">
        <f>Table14174[[#This Row],[Inventory]]-Table14174[[#This Row],[Update ]]</f>
        <v>410</v>
      </c>
    </row>
    <row r="172" spans="1:12" x14ac:dyDescent="0.2">
      <c r="A172" s="125">
        <v>44988</v>
      </c>
      <c r="B172" s="9" t="s">
        <v>52</v>
      </c>
      <c r="C172" s="50" t="s">
        <v>276</v>
      </c>
      <c r="D172" s="49" t="s">
        <v>186</v>
      </c>
      <c r="E172" s="9">
        <v>8</v>
      </c>
      <c r="F172" s="47">
        <f>INDEX('Master (Filled)'!$Z$8:$Z$37,MATCH(D172,'Master (Filled)'!$Y$8:$Y$37,0))</f>
        <v>75000</v>
      </c>
      <c r="G172" s="119">
        <f t="shared" si="7"/>
        <v>0.02</v>
      </c>
      <c r="H172" s="47">
        <f t="shared" si="8"/>
        <v>598500</v>
      </c>
      <c r="I172" s="50" t="s">
        <v>276</v>
      </c>
      <c r="J172" s="124">
        <f t="shared" si="9"/>
        <v>755</v>
      </c>
      <c r="K172" s="124">
        <f>SUMIF(Table1316[Category],Table14174[[#This Row],[Category]],Table1316[[Quantity ]])</f>
        <v>345</v>
      </c>
      <c r="L172" s="124">
        <f>Table14174[[#This Row],[Inventory]]-Table14174[[#This Row],[Update ]]</f>
        <v>410</v>
      </c>
    </row>
    <row r="173" spans="1:12" x14ac:dyDescent="0.2">
      <c r="A173" s="125">
        <v>44988</v>
      </c>
      <c r="B173" s="9" t="s">
        <v>103</v>
      </c>
      <c r="C173" s="50" t="s">
        <v>278</v>
      </c>
      <c r="D173" s="50" t="s">
        <v>37</v>
      </c>
      <c r="E173" s="9">
        <v>9</v>
      </c>
      <c r="F173" s="47">
        <f>INDEX('Master (Filled)'!$Z$8:$Z$37,MATCH(D173,'Master (Filled)'!$Y$8:$Y$37,0))</f>
        <v>195000</v>
      </c>
      <c r="G173" s="119">
        <f t="shared" si="7"/>
        <v>0.03</v>
      </c>
      <c r="H173" s="47">
        <f t="shared" si="8"/>
        <v>1749150</v>
      </c>
      <c r="I173" s="50" t="s">
        <v>278</v>
      </c>
      <c r="J173" s="124">
        <f t="shared" si="9"/>
        <v>755</v>
      </c>
      <c r="K173" s="124">
        <f>SUMIF(Table1316[Category],Table14174[[#This Row],[Category]],Table1316[[Quantity ]])</f>
        <v>299</v>
      </c>
      <c r="L173" s="124">
        <f>Table14174[[#This Row],[Inventory]]-Table14174[[#This Row],[Update ]]</f>
        <v>456</v>
      </c>
    </row>
    <row r="174" spans="1:12" x14ac:dyDescent="0.2">
      <c r="A174" s="125">
        <v>44988</v>
      </c>
      <c r="B174" s="9" t="s">
        <v>103</v>
      </c>
      <c r="C174" s="50" t="s">
        <v>278</v>
      </c>
      <c r="D174" s="50" t="s">
        <v>37</v>
      </c>
      <c r="E174" s="9">
        <v>11</v>
      </c>
      <c r="F174" s="47">
        <f>INDEX('Master (Filled)'!$Z$8:$Z$37,MATCH(D174,'Master (Filled)'!$Y$8:$Y$37,0))</f>
        <v>195000</v>
      </c>
      <c r="G174" s="119">
        <f t="shared" si="7"/>
        <v>0.03</v>
      </c>
      <c r="H174" s="47">
        <f t="shared" si="8"/>
        <v>2139150</v>
      </c>
      <c r="I174" s="50" t="s">
        <v>278</v>
      </c>
      <c r="J174" s="124">
        <f t="shared" si="9"/>
        <v>755</v>
      </c>
      <c r="K174" s="124">
        <f>SUMIF(Table1316[Category],Table14174[[#This Row],[Category]],Table1316[[Quantity ]])</f>
        <v>299</v>
      </c>
      <c r="L174" s="124">
        <f>Table14174[[#This Row],[Inventory]]-Table14174[[#This Row],[Update ]]</f>
        <v>456</v>
      </c>
    </row>
    <row r="175" spans="1:12" x14ac:dyDescent="0.2">
      <c r="A175" s="125">
        <v>44989</v>
      </c>
      <c r="B175" s="9" t="s">
        <v>19</v>
      </c>
      <c r="C175" s="50" t="s">
        <v>280</v>
      </c>
      <c r="D175" s="50" t="s">
        <v>32</v>
      </c>
      <c r="E175" s="9">
        <v>10</v>
      </c>
      <c r="F175" s="47">
        <f>INDEX('Master (Filled)'!$Z$8:$Z$37,MATCH(D175,'Master (Filled)'!$Y$8:$Y$37,0))</f>
        <v>25500</v>
      </c>
      <c r="G175" s="119">
        <f t="shared" si="7"/>
        <v>0.03</v>
      </c>
      <c r="H175" s="47">
        <f t="shared" si="8"/>
        <v>254235</v>
      </c>
      <c r="I175" s="50" t="s">
        <v>280</v>
      </c>
      <c r="J175" s="124">
        <f t="shared" si="9"/>
        <v>755</v>
      </c>
      <c r="K175" s="124">
        <f>SUMIF(Table1316[Category],Table14174[[#This Row],[Category]],Table1316[[Quantity ]])</f>
        <v>241</v>
      </c>
      <c r="L175" s="124">
        <f>Table14174[[#This Row],[Inventory]]-Table14174[[#This Row],[Update ]]</f>
        <v>514</v>
      </c>
    </row>
    <row r="176" spans="1:12" x14ac:dyDescent="0.2">
      <c r="A176" s="125">
        <v>44989</v>
      </c>
      <c r="B176" s="9" t="s">
        <v>31</v>
      </c>
      <c r="C176" s="50" t="s">
        <v>280</v>
      </c>
      <c r="D176" s="50" t="s">
        <v>32</v>
      </c>
      <c r="E176" s="9">
        <v>9</v>
      </c>
      <c r="F176" s="47">
        <f>INDEX('Master (Filled)'!$Z$8:$Z$37,MATCH(D176,'Master (Filled)'!$Y$8:$Y$37,0))</f>
        <v>25500</v>
      </c>
      <c r="G176" s="119">
        <f t="shared" si="7"/>
        <v>0.03</v>
      </c>
      <c r="H176" s="47">
        <f t="shared" si="8"/>
        <v>228735</v>
      </c>
      <c r="I176" s="50" t="s">
        <v>280</v>
      </c>
      <c r="J176" s="124">
        <f t="shared" si="9"/>
        <v>755</v>
      </c>
      <c r="K176" s="124">
        <f>SUMIF(Table1316[Category],Table14174[[#This Row],[Category]],Table1316[[Quantity ]])</f>
        <v>241</v>
      </c>
      <c r="L176" s="124">
        <f>Table14174[[#This Row],[Inventory]]-Table14174[[#This Row],[Update ]]</f>
        <v>514</v>
      </c>
    </row>
    <row r="177" spans="1:12" x14ac:dyDescent="0.2">
      <c r="A177" s="125">
        <v>44989</v>
      </c>
      <c r="B177" s="9" t="s">
        <v>36</v>
      </c>
      <c r="C177" s="50" t="s">
        <v>278</v>
      </c>
      <c r="D177" s="50" t="s">
        <v>41</v>
      </c>
      <c r="E177" s="9">
        <v>5</v>
      </c>
      <c r="F177" s="47">
        <f>INDEX('Master (Filled)'!$Z$8:$Z$37,MATCH(D177,'Master (Filled)'!$Y$8:$Y$37,0))</f>
        <v>85500</v>
      </c>
      <c r="G177" s="119">
        <f t="shared" si="7"/>
        <v>0.02</v>
      </c>
      <c r="H177" s="47">
        <f t="shared" si="8"/>
        <v>425790</v>
      </c>
      <c r="I177" s="50" t="s">
        <v>278</v>
      </c>
      <c r="J177" s="124">
        <f t="shared" si="9"/>
        <v>755</v>
      </c>
      <c r="K177" s="124">
        <f>SUMIF(Table1316[Category],Table14174[[#This Row],[Category]],Table1316[[Quantity ]])</f>
        <v>299</v>
      </c>
      <c r="L177" s="124">
        <f>Table14174[[#This Row],[Inventory]]-Table14174[[#This Row],[Update ]]</f>
        <v>456</v>
      </c>
    </row>
    <row r="178" spans="1:12" x14ac:dyDescent="0.2">
      <c r="A178" s="125">
        <v>44989</v>
      </c>
      <c r="B178" s="9" t="s">
        <v>40</v>
      </c>
      <c r="C178" s="50" t="s">
        <v>278</v>
      </c>
      <c r="D178" s="50" t="s">
        <v>104</v>
      </c>
      <c r="E178" s="9">
        <v>7</v>
      </c>
      <c r="F178" s="47">
        <f>INDEX('Master (Filled)'!$Z$8:$Z$37,MATCH(D178,'Master (Filled)'!$Y$8:$Y$37,0))</f>
        <v>225000</v>
      </c>
      <c r="G178" s="119">
        <f t="shared" si="7"/>
        <v>0.02</v>
      </c>
      <c r="H178" s="47">
        <f t="shared" si="8"/>
        <v>1570500</v>
      </c>
      <c r="I178" s="50" t="s">
        <v>278</v>
      </c>
      <c r="J178" s="124">
        <f t="shared" si="9"/>
        <v>755</v>
      </c>
      <c r="K178" s="124">
        <f>SUMIF(Table1316[Category],Table14174[[#This Row],[Category]],Table1316[[Quantity ]])</f>
        <v>299</v>
      </c>
      <c r="L178" s="124">
        <f>Table14174[[#This Row],[Inventory]]-Table14174[[#This Row],[Update ]]</f>
        <v>456</v>
      </c>
    </row>
    <row r="179" spans="1:12" x14ac:dyDescent="0.2">
      <c r="A179" s="125">
        <v>44990</v>
      </c>
      <c r="B179" s="9" t="s">
        <v>40</v>
      </c>
      <c r="C179" s="50" t="s">
        <v>278</v>
      </c>
      <c r="D179" s="50" t="s">
        <v>104</v>
      </c>
      <c r="E179" s="9">
        <v>7</v>
      </c>
      <c r="F179" s="47">
        <f>INDEX('Master (Filled)'!$Z$8:$Z$37,MATCH(D179,'Master (Filled)'!$Y$8:$Y$37,0))</f>
        <v>225000</v>
      </c>
      <c r="G179" s="119">
        <f t="shared" si="7"/>
        <v>0.02</v>
      </c>
      <c r="H179" s="47">
        <f t="shared" si="8"/>
        <v>1570500</v>
      </c>
      <c r="I179" s="50" t="s">
        <v>278</v>
      </c>
      <c r="J179" s="124">
        <f t="shared" si="9"/>
        <v>755</v>
      </c>
      <c r="K179" s="124">
        <f>SUMIF(Table1316[Category],Table14174[[#This Row],[Category]],Table1316[[Quantity ]])</f>
        <v>299</v>
      </c>
      <c r="L179" s="124">
        <f>Table14174[[#This Row],[Inventory]]-Table14174[[#This Row],[Update ]]</f>
        <v>456</v>
      </c>
    </row>
    <row r="180" spans="1:12" x14ac:dyDescent="0.2">
      <c r="A180" s="125">
        <v>44990</v>
      </c>
      <c r="B180" s="9" t="s">
        <v>46</v>
      </c>
      <c r="C180" s="50" t="s">
        <v>278</v>
      </c>
      <c r="D180" s="50" t="s">
        <v>104</v>
      </c>
      <c r="E180" s="9">
        <v>7</v>
      </c>
      <c r="F180" s="47">
        <f>INDEX('Master (Filled)'!$Z$8:$Z$37,MATCH(D180,'Master (Filled)'!$Y$8:$Y$37,0))</f>
        <v>225000</v>
      </c>
      <c r="G180" s="119">
        <f t="shared" si="7"/>
        <v>0.02</v>
      </c>
      <c r="H180" s="47">
        <f t="shared" si="8"/>
        <v>1570500</v>
      </c>
      <c r="I180" s="50" t="s">
        <v>278</v>
      </c>
      <c r="J180" s="124">
        <f t="shared" si="9"/>
        <v>755</v>
      </c>
      <c r="K180" s="124">
        <f>SUMIF(Table1316[Category],Table14174[[#This Row],[Category]],Table1316[[Quantity ]])</f>
        <v>299</v>
      </c>
      <c r="L180" s="124">
        <f>Table14174[[#This Row],[Inventory]]-Table14174[[#This Row],[Update ]]</f>
        <v>456</v>
      </c>
    </row>
    <row r="181" spans="1:12" x14ac:dyDescent="0.2">
      <c r="A181" s="126">
        <v>44990</v>
      </c>
      <c r="B181" s="9" t="s">
        <v>36</v>
      </c>
      <c r="C181" s="50" t="s">
        <v>278</v>
      </c>
      <c r="D181" s="50" t="s">
        <v>41</v>
      </c>
      <c r="E181" s="9">
        <v>8</v>
      </c>
      <c r="F181" s="47">
        <f>INDEX('Master (Filled)'!$Z$8:$Z$37,MATCH(D181,'Master (Filled)'!$Y$8:$Y$37,0))</f>
        <v>85500</v>
      </c>
      <c r="G181" s="119">
        <f t="shared" si="7"/>
        <v>0.02</v>
      </c>
      <c r="H181" s="47">
        <f t="shared" si="8"/>
        <v>682290</v>
      </c>
      <c r="I181" s="50" t="s">
        <v>278</v>
      </c>
      <c r="J181" s="124">
        <f t="shared" si="9"/>
        <v>755</v>
      </c>
      <c r="K181" s="124">
        <f>SUMIF(Table1316[Category],Table14174[[#This Row],[Category]],Table1316[[Quantity ]])</f>
        <v>299</v>
      </c>
      <c r="L181" s="124">
        <f>Table14174[[#This Row],[Inventory]]-Table14174[[#This Row],[Update ]]</f>
        <v>456</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Master (Blank)</vt:lpstr>
      <vt:lpstr>Master (Filled)</vt:lpstr>
      <vt:lpstr>Pivot Table</vt:lpstr>
      <vt:lpstr>Data Table Analysis</vt:lpstr>
      <vt:lpstr>Income</vt:lpstr>
      <vt:lpstr>Jumlah Category</vt:lpstr>
      <vt:lpstr>Persediaan</vt:lpstr>
      <vt:lpstr>Barcode</vt:lpstr>
      <vt:lpstr>Category</vt:lpstr>
      <vt:lpstr>Data_Table</vt:lpstr>
      <vt:lpstr>Harga</vt:lpstr>
      <vt:lpstr>Harga_Rata_Rata</vt:lpstr>
      <vt:lpstr>Point</vt:lpstr>
      <vt:lpstr>Produk</vt:lpstr>
      <vt:lpstr>ProdukID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Muhammad Wijaya</cp:lastModifiedBy>
  <dcterms:created xsi:type="dcterms:W3CDTF">2025-02-20T17:57:27Z</dcterms:created>
  <dcterms:modified xsi:type="dcterms:W3CDTF">2025-02-24T12:16:07Z</dcterms:modified>
</cp:coreProperties>
</file>